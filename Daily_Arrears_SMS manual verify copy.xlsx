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hristopher\Bulk Messaging\"/>
    </mc:Choice>
  </mc:AlternateContent>
  <xr:revisionPtr revIDLastSave="0" documentId="13_ncr:1_{29D06F19-26FB-42BC-A008-5240727F20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ducing" sheetId="2" r:id="rId1"/>
    <sheet name="Flat" sheetId="3" r:id="rId2"/>
    <sheet name="Flex" sheetId="6" r:id="rId3"/>
    <sheet name="Bullet" sheetId="5" r:id="rId4"/>
    <sheet name="Branches" sheetId="1" r:id="rId5"/>
  </sheets>
  <definedNames>
    <definedName name="_xlnm._FilterDatabase" localSheetId="0" hidden="1">Reducing!$A$1:$R$22</definedName>
  </definedNames>
  <calcPr calcId="191029"/>
</workbook>
</file>

<file path=xl/calcChain.xml><?xml version="1.0" encoding="utf-8"?>
<calcChain xmlns="http://schemas.openxmlformats.org/spreadsheetml/2006/main">
  <c r="Q181" i="1" l="1"/>
  <c r="Q2" i="5"/>
  <c r="Q2" i="6"/>
  <c r="Q2" i="3"/>
  <c r="Q2" i="2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4" i="6"/>
  <c r="Q3" i="6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2" i="1"/>
  <c r="Q3" i="2"/>
  <c r="S4" i="6"/>
  <c r="S3" i="6"/>
  <c r="S2" i="6"/>
  <c r="Q11" i="2"/>
  <c r="Q12" i="2"/>
  <c r="Q13" i="2"/>
  <c r="Q14" i="2"/>
  <c r="Q15" i="2"/>
  <c r="Q16" i="2"/>
  <c r="Q17" i="2"/>
  <c r="Q18" i="2"/>
  <c r="Q19" i="2"/>
  <c r="Q20" i="2"/>
  <c r="Q21" i="2"/>
  <c r="Q22" i="2"/>
  <c r="Q10" i="2"/>
  <c r="Q8" i="2"/>
  <c r="Q9" i="2"/>
  <c r="Q4" i="2"/>
  <c r="Q5" i="2"/>
  <c r="Q6" i="2"/>
  <c r="Q7" i="2"/>
</calcChain>
</file>

<file path=xl/sharedStrings.xml><?xml version="1.0" encoding="utf-8"?>
<sst xmlns="http://schemas.openxmlformats.org/spreadsheetml/2006/main" count="2230" uniqueCount="1335">
  <si>
    <t>MemberNo</t>
  </si>
  <si>
    <t>MemberName</t>
  </si>
  <si>
    <t>MobileNo</t>
  </si>
  <si>
    <t>ProductName</t>
  </si>
  <si>
    <t>Days</t>
  </si>
  <si>
    <t>AmountDue</t>
  </si>
  <si>
    <t>TotalBalance</t>
  </si>
  <si>
    <t>DueDate</t>
  </si>
  <si>
    <t>Date</t>
  </si>
  <si>
    <t>Principle</t>
  </si>
  <si>
    <t>Interest</t>
  </si>
  <si>
    <t>TotalLoan</t>
  </si>
  <si>
    <t>PBalance</t>
  </si>
  <si>
    <t>IBalance</t>
  </si>
  <si>
    <t>Installment</t>
  </si>
  <si>
    <t>Total</t>
  </si>
  <si>
    <t>SourceFile</t>
  </si>
  <si>
    <t>1004713</t>
  </si>
  <si>
    <t>1004913</t>
  </si>
  <si>
    <t>1005360</t>
  </si>
  <si>
    <t>1005357</t>
  </si>
  <si>
    <t>1004861</t>
  </si>
  <si>
    <t>1004944</t>
  </si>
  <si>
    <t>1005347</t>
  </si>
  <si>
    <t>1005367</t>
  </si>
  <si>
    <t>1005186</t>
  </si>
  <si>
    <t>1005019</t>
  </si>
  <si>
    <t>1005491</t>
  </si>
  <si>
    <t>1004347</t>
  </si>
  <si>
    <t>1004076</t>
  </si>
  <si>
    <t>1004782</t>
  </si>
  <si>
    <t>1003704</t>
  </si>
  <si>
    <t>1004869</t>
  </si>
  <si>
    <t>1004845</t>
  </si>
  <si>
    <t>1003477</t>
  </si>
  <si>
    <t>1004303</t>
  </si>
  <si>
    <t>1002631</t>
  </si>
  <si>
    <t>1002738</t>
  </si>
  <si>
    <t>1004219</t>
  </si>
  <si>
    <t>1003083</t>
  </si>
  <si>
    <t>1003475</t>
  </si>
  <si>
    <t>1003031</t>
  </si>
  <si>
    <t>1004714</t>
  </si>
  <si>
    <t>1003030</t>
  </si>
  <si>
    <t>1004206</t>
  </si>
  <si>
    <t>1003566</t>
  </si>
  <si>
    <t>1004595</t>
  </si>
  <si>
    <t>1004904</t>
  </si>
  <si>
    <t>1004909</t>
  </si>
  <si>
    <t>1004683</t>
  </si>
  <si>
    <t>1004907</t>
  </si>
  <si>
    <t>1004285</t>
  </si>
  <si>
    <t>1002401</t>
  </si>
  <si>
    <t>1004875</t>
  </si>
  <si>
    <t>1004874</t>
  </si>
  <si>
    <t>1004876</t>
  </si>
  <si>
    <t>1004689</t>
  </si>
  <si>
    <t>1005257</t>
  </si>
  <si>
    <t>1002739</t>
  </si>
  <si>
    <t>1003905</t>
  </si>
  <si>
    <t>1003650</t>
  </si>
  <si>
    <t>1004653</t>
  </si>
  <si>
    <t>1004915</t>
  </si>
  <si>
    <t>1000260</t>
  </si>
  <si>
    <t>1000294</t>
  </si>
  <si>
    <t>1001422</t>
  </si>
  <si>
    <t>1005185</t>
  </si>
  <si>
    <t>1004040</t>
  </si>
  <si>
    <t>1005072</t>
  </si>
  <si>
    <t>1001896</t>
  </si>
  <si>
    <t>1005295</t>
  </si>
  <si>
    <t>1000398</t>
  </si>
  <si>
    <t>TOTAL</t>
  </si>
  <si>
    <t>1004531</t>
  </si>
  <si>
    <t>1004600</t>
  </si>
  <si>
    <t>1004664</t>
  </si>
  <si>
    <t>1003606</t>
  </si>
  <si>
    <t>1002229</t>
  </si>
  <si>
    <t>1005121</t>
  </si>
  <si>
    <t>1002172</t>
  </si>
  <si>
    <t>1003977</t>
  </si>
  <si>
    <t>1001950</t>
  </si>
  <si>
    <t>1002339</t>
  </si>
  <si>
    <t>1004838</t>
  </si>
  <si>
    <t>1004404</t>
  </si>
  <si>
    <t>1005377</t>
  </si>
  <si>
    <t>1003956</t>
  </si>
  <si>
    <t>1002446</t>
  </si>
  <si>
    <t>1002071</t>
  </si>
  <si>
    <t>1005424</t>
  </si>
  <si>
    <t>1001960</t>
  </si>
  <si>
    <t>1004330</t>
  </si>
  <si>
    <t>1004428</t>
  </si>
  <si>
    <t>1004409</t>
  </si>
  <si>
    <t>1004859</t>
  </si>
  <si>
    <t>1004267</t>
  </si>
  <si>
    <t>1004265</t>
  </si>
  <si>
    <t>1005048</t>
  </si>
  <si>
    <t>1004401</t>
  </si>
  <si>
    <t>1004400</t>
  </si>
  <si>
    <t>1004410</t>
  </si>
  <si>
    <t>1004411</t>
  </si>
  <si>
    <t>1003154</t>
  </si>
  <si>
    <t>1002545</t>
  </si>
  <si>
    <t>1003966</t>
  </si>
  <si>
    <t>1004594</t>
  </si>
  <si>
    <t>1004729</t>
  </si>
  <si>
    <t>1004722</t>
  </si>
  <si>
    <t>1004521</t>
  </si>
  <si>
    <t>1004667</t>
  </si>
  <si>
    <t>1004744</t>
  </si>
  <si>
    <t>1004865</t>
  </si>
  <si>
    <t>1004368</t>
  </si>
  <si>
    <t>1004440</t>
  </si>
  <si>
    <t>1004441</t>
  </si>
  <si>
    <t>1004478</t>
  </si>
  <si>
    <t>1004259</t>
  </si>
  <si>
    <t>1004332</t>
  </si>
  <si>
    <t>1004256</t>
  </si>
  <si>
    <t>1004262</t>
  </si>
  <si>
    <t>1004264</t>
  </si>
  <si>
    <t>1005236</t>
  </si>
  <si>
    <t>1004133</t>
  </si>
  <si>
    <t>1004149</t>
  </si>
  <si>
    <t>1002123</t>
  </si>
  <si>
    <t>1002034</t>
  </si>
  <si>
    <t>1002082</t>
  </si>
  <si>
    <t>1004998</t>
  </si>
  <si>
    <t>1001792</t>
  </si>
  <si>
    <t>1002961</t>
  </si>
  <si>
    <t>1005083</t>
  </si>
  <si>
    <t>1002828</t>
  </si>
  <si>
    <t>1001947</t>
  </si>
  <si>
    <t>1002603</t>
  </si>
  <si>
    <t>1004996</t>
  </si>
  <si>
    <t>1004126</t>
  </si>
  <si>
    <t>1001748</t>
  </si>
  <si>
    <t>1003444</t>
  </si>
  <si>
    <t>1005430</t>
  </si>
  <si>
    <t>1002928</t>
  </si>
  <si>
    <t>1001829</t>
  </si>
  <si>
    <t>1002009</t>
  </si>
  <si>
    <t>1002929</t>
  </si>
  <si>
    <t>1004751</t>
  </si>
  <si>
    <t>1002776</t>
  </si>
  <si>
    <t>1004983</t>
  </si>
  <si>
    <t>1001717</t>
  </si>
  <si>
    <t>1002705</t>
  </si>
  <si>
    <t>1005210</t>
  </si>
  <si>
    <t>1005049</t>
  </si>
  <si>
    <t>1004253</t>
  </si>
  <si>
    <t>1005040</t>
  </si>
  <si>
    <t>1005289</t>
  </si>
  <si>
    <t>1003733</t>
  </si>
  <si>
    <t>1005157</t>
  </si>
  <si>
    <t>1003179</t>
  </si>
  <si>
    <t>1005182</t>
  </si>
  <si>
    <t>1003922</t>
  </si>
  <si>
    <t>1005087</t>
  </si>
  <si>
    <t>1005086</t>
  </si>
  <si>
    <t>1005115</t>
  </si>
  <si>
    <t>1005126</t>
  </si>
  <si>
    <t>1005153</t>
  </si>
  <si>
    <t>1005154</t>
  </si>
  <si>
    <t>1005160</t>
  </si>
  <si>
    <t>1005166</t>
  </si>
  <si>
    <t>1005162</t>
  </si>
  <si>
    <t>1005176</t>
  </si>
  <si>
    <t>1005188</t>
  </si>
  <si>
    <t>1005205</t>
  </si>
  <si>
    <t>1005221</t>
  </si>
  <si>
    <t>1005219</t>
  </si>
  <si>
    <t>1005222</t>
  </si>
  <si>
    <t>1005220</t>
  </si>
  <si>
    <t>1005218</t>
  </si>
  <si>
    <t>1005235</t>
  </si>
  <si>
    <t>1005230</t>
  </si>
  <si>
    <t>1005255</t>
  </si>
  <si>
    <t>1005269</t>
  </si>
  <si>
    <t>1005283</t>
  </si>
  <si>
    <t>1005294</t>
  </si>
  <si>
    <t>1005062</t>
  </si>
  <si>
    <t>1004905</t>
  </si>
  <si>
    <t>1004979</t>
  </si>
  <si>
    <t>1005312</t>
  </si>
  <si>
    <t>1005316</t>
  </si>
  <si>
    <t>1005343</t>
  </si>
  <si>
    <t>1005344</t>
  </si>
  <si>
    <t>1005354</t>
  </si>
  <si>
    <t>1005029</t>
  </si>
  <si>
    <t>1005092</t>
  </si>
  <si>
    <t>1005091</t>
  </si>
  <si>
    <t>1005352</t>
  </si>
  <si>
    <t>1005396</t>
  </si>
  <si>
    <t>1005462</t>
  </si>
  <si>
    <t>1005483</t>
  </si>
  <si>
    <t>1005485</t>
  </si>
  <si>
    <t>1005371</t>
  </si>
  <si>
    <t>1003403</t>
  </si>
  <si>
    <t>1002188</t>
  </si>
  <si>
    <t>1002353</t>
  </si>
  <si>
    <t>1004929</t>
  </si>
  <si>
    <t>1003250</t>
  </si>
  <si>
    <t>1003753</t>
  </si>
  <si>
    <t>1003463</t>
  </si>
  <si>
    <t>1004984</t>
  </si>
  <si>
    <t>1003720</t>
  </si>
  <si>
    <t>1004433</t>
  </si>
  <si>
    <t>1004586</t>
  </si>
  <si>
    <t>1004435</t>
  </si>
  <si>
    <t>1003951</t>
  </si>
  <si>
    <t>1004924</t>
  </si>
  <si>
    <t>1004499</t>
  </si>
  <si>
    <t>1004816</t>
  </si>
  <si>
    <t>1005380</t>
  </si>
  <si>
    <t>1004328</t>
  </si>
  <si>
    <t>1004128</t>
  </si>
  <si>
    <t>1005477</t>
  </si>
  <si>
    <t>1005486</t>
  </si>
  <si>
    <t>1004969</t>
  </si>
  <si>
    <t>1005285</t>
  </si>
  <si>
    <t>1003891</t>
  </si>
  <si>
    <t>1003671</t>
  </si>
  <si>
    <t>1003426</t>
  </si>
  <si>
    <t>1003690</t>
  </si>
  <si>
    <t>1004042</t>
  </si>
  <si>
    <t>1003466</t>
  </si>
  <si>
    <t>1004449</t>
  </si>
  <si>
    <t>1003773</t>
  </si>
  <si>
    <t>1004957</t>
  </si>
  <si>
    <t>1005133</t>
  </si>
  <si>
    <t>1003685</t>
  </si>
  <si>
    <t>1003461</t>
  </si>
  <si>
    <t>1005003</t>
  </si>
  <si>
    <t>1003745</t>
  </si>
  <si>
    <t>1005253</t>
  </si>
  <si>
    <t>1005298</t>
  </si>
  <si>
    <t>1005125</t>
  </si>
  <si>
    <t>1004991</t>
  </si>
  <si>
    <t>1002582</t>
  </si>
  <si>
    <t>1004202</t>
  </si>
  <si>
    <t>1004138</t>
  </si>
  <si>
    <t>1003857</t>
  </si>
  <si>
    <t>1000510</t>
  </si>
  <si>
    <t>1001535</t>
  </si>
  <si>
    <t>1004674</t>
  </si>
  <si>
    <t>1003967</t>
  </si>
  <si>
    <t>1001452</t>
  </si>
  <si>
    <t>1005304</t>
  </si>
  <si>
    <t>1005336</t>
  </si>
  <si>
    <t>1001556</t>
  </si>
  <si>
    <t>1003818</t>
  </si>
  <si>
    <t>1005321</t>
  </si>
  <si>
    <t>1004313</t>
  </si>
  <si>
    <t>1004502</t>
  </si>
  <si>
    <t>1004853</t>
  </si>
  <si>
    <t>1005171</t>
  </si>
  <si>
    <t>1002893</t>
  </si>
  <si>
    <t>1004609</t>
  </si>
  <si>
    <t>1002947</t>
  </si>
  <si>
    <t>1004519</t>
  </si>
  <si>
    <t>1004565</t>
  </si>
  <si>
    <t>1003516</t>
  </si>
  <si>
    <t>1003098</t>
  </si>
  <si>
    <t>1003341</t>
  </si>
  <si>
    <t>1001513</t>
  </si>
  <si>
    <t>1005124</t>
  </si>
  <si>
    <t>1001851</t>
  </si>
  <si>
    <t>1004752</t>
  </si>
  <si>
    <t>1002618</t>
  </si>
  <si>
    <t>1003082</t>
  </si>
  <si>
    <t>1002179</t>
  </si>
  <si>
    <t>1001803</t>
  </si>
  <si>
    <t>1001813</t>
  </si>
  <si>
    <t>1001927</t>
  </si>
  <si>
    <t>1005032</t>
  </si>
  <si>
    <t>1005300</t>
  </si>
  <si>
    <t>1003884</t>
  </si>
  <si>
    <t>1003327</t>
  </si>
  <si>
    <t>1002850</t>
  </si>
  <si>
    <t>1002514</t>
  </si>
  <si>
    <t>1004540</t>
  </si>
  <si>
    <t>1004536</t>
  </si>
  <si>
    <t>1002742</t>
  </si>
  <si>
    <t>1002161</t>
  </si>
  <si>
    <t>1004100</t>
  </si>
  <si>
    <t>1004196</t>
  </si>
  <si>
    <t>1001879</t>
  </si>
  <si>
    <t>1001412</t>
  </si>
  <si>
    <t>1000211</t>
  </si>
  <si>
    <t>1001624</t>
  </si>
  <si>
    <t>1000680</t>
  </si>
  <si>
    <t>1001886</t>
  </si>
  <si>
    <t>1001107</t>
  </si>
  <si>
    <t>1000231</t>
  </si>
  <si>
    <t>1000461</t>
  </si>
  <si>
    <t>1000425</t>
  </si>
  <si>
    <t>1000234</t>
  </si>
  <si>
    <t>1001307</t>
  </si>
  <si>
    <t>1000413</t>
  </si>
  <si>
    <t>1000479</t>
  </si>
  <si>
    <t>1002239</t>
  </si>
  <si>
    <t>1001286</t>
  </si>
  <si>
    <t>1002463</t>
  </si>
  <si>
    <t>1000248</t>
  </si>
  <si>
    <t>1000178</t>
  </si>
  <si>
    <t>1000495</t>
  </si>
  <si>
    <t>1003963</t>
  </si>
  <si>
    <t>1000071</t>
  </si>
  <si>
    <t>1000682</t>
  </si>
  <si>
    <t>1000488</t>
  </si>
  <si>
    <t>1000627</t>
  </si>
  <si>
    <t>1002993</t>
  </si>
  <si>
    <t>1000043</t>
  </si>
  <si>
    <t>1005318</t>
  </si>
  <si>
    <t>1004169</t>
  </si>
  <si>
    <t>1004420</t>
  </si>
  <si>
    <t>1004018</t>
  </si>
  <si>
    <t>1004034</t>
  </si>
  <si>
    <t>1004320</t>
  </si>
  <si>
    <t>1003853</t>
  </si>
  <si>
    <t>1003934</t>
  </si>
  <si>
    <t>1005487</t>
  </si>
  <si>
    <t>1004205</t>
  </si>
  <si>
    <t>1003592</t>
  </si>
  <si>
    <t>1004855</t>
  </si>
  <si>
    <t>1003418</t>
  </si>
  <si>
    <t>1003837</t>
  </si>
  <si>
    <t>1003974</t>
  </si>
  <si>
    <t>1003847</t>
  </si>
  <si>
    <t>1004065</t>
  </si>
  <si>
    <t>1003432</t>
  </si>
  <si>
    <t>1003915</t>
  </si>
  <si>
    <t>1003367</t>
  </si>
  <si>
    <t>1002999</t>
  </si>
  <si>
    <t>1003385</t>
  </si>
  <si>
    <t>1003767</t>
  </si>
  <si>
    <t>1004248</t>
  </si>
  <si>
    <t>1003900</t>
  </si>
  <si>
    <t>1003204</t>
  </si>
  <si>
    <t>1005067</t>
  </si>
  <si>
    <t>1004916</t>
  </si>
  <si>
    <t>1003537</t>
  </si>
  <si>
    <t>1005400</t>
  </si>
  <si>
    <t>1004710</t>
  </si>
  <si>
    <t>1005418</t>
  </si>
  <si>
    <t>1003302</t>
  </si>
  <si>
    <t>1004598</t>
  </si>
  <si>
    <t>1003122</t>
  </si>
  <si>
    <t>1003145</t>
  </si>
  <si>
    <t>1003062</t>
  </si>
  <si>
    <t>1003081</t>
  </si>
  <si>
    <t>1004742</t>
  </si>
  <si>
    <t>1003273</t>
  </si>
  <si>
    <t>1003144</t>
  </si>
  <si>
    <t>1004273</t>
  </si>
  <si>
    <t>1004933</t>
  </si>
  <si>
    <t>1004111</t>
  </si>
  <si>
    <t>1004448</t>
  </si>
  <si>
    <t>1003206</t>
  </si>
  <si>
    <t>1004677</t>
  </si>
  <si>
    <t>1004014</t>
  </si>
  <si>
    <t>1003400</t>
  </si>
  <si>
    <t>1004083</t>
  </si>
  <si>
    <t>1003924</t>
  </si>
  <si>
    <t>1003266</t>
  </si>
  <si>
    <t>1004663</t>
  </si>
  <si>
    <t>1004162</t>
  </si>
  <si>
    <t>1004547</t>
  </si>
  <si>
    <t>1004633</t>
  </si>
  <si>
    <t>1003357</t>
  </si>
  <si>
    <t>1003996</t>
  </si>
  <si>
    <t>1004541</t>
  </si>
  <si>
    <t>1005288</t>
  </si>
  <si>
    <t>1005303</t>
  </si>
  <si>
    <t>1001919</t>
  </si>
  <si>
    <t>1004203</t>
  </si>
  <si>
    <t>1002386</t>
  </si>
  <si>
    <t>1004097</t>
  </si>
  <si>
    <t>1005212</t>
  </si>
  <si>
    <t>1003008</t>
  </si>
  <si>
    <t>1001320</t>
  </si>
  <si>
    <t>1001701</t>
  </si>
  <si>
    <t>1003917</t>
  </si>
  <si>
    <t>1005482</t>
  </si>
  <si>
    <t>1001657</t>
  </si>
  <si>
    <t>1004618</t>
  </si>
  <si>
    <t>1001591</t>
  </si>
  <si>
    <t>1004465</t>
  </si>
  <si>
    <t>1003093</t>
  </si>
  <si>
    <t>1005338</t>
  </si>
  <si>
    <t>1003033</t>
  </si>
  <si>
    <t>1004980</t>
  </si>
  <si>
    <t>1005488</t>
  </si>
  <si>
    <t>1001329</t>
  </si>
  <si>
    <t>1002072</t>
  </si>
  <si>
    <t>1002272</t>
  </si>
  <si>
    <t>1004935</t>
  </si>
  <si>
    <t>1002113</t>
  </si>
  <si>
    <t>1001905</t>
  </si>
  <si>
    <t>1001434</t>
  </si>
  <si>
    <t>1003777</t>
  </si>
  <si>
    <t>1003860</t>
  </si>
  <si>
    <t>1001951</t>
  </si>
  <si>
    <t>1005206</t>
  </si>
  <si>
    <t>1001342</t>
  </si>
  <si>
    <t>1002491</t>
  </si>
  <si>
    <t>1004000</t>
  </si>
  <si>
    <t>1004982</t>
  </si>
  <si>
    <t>1002254</t>
  </si>
  <si>
    <t>1005271</t>
  </si>
  <si>
    <t>1001234</t>
  </si>
  <si>
    <t>1003928</t>
  </si>
  <si>
    <t>1004010</t>
  </si>
  <si>
    <t>1003965</t>
  </si>
  <si>
    <t>1003913</t>
  </si>
  <si>
    <t>1005425</t>
  </si>
  <si>
    <t>1001167</t>
  </si>
  <si>
    <t>1004030</t>
  </si>
  <si>
    <t>1001151</t>
  </si>
  <si>
    <t>1003213</t>
  </si>
  <si>
    <t>1001514</t>
  </si>
  <si>
    <t>1000771</t>
  </si>
  <si>
    <t>1000768</t>
  </si>
  <si>
    <t>1001604</t>
  </si>
  <si>
    <t>1002026</t>
  </si>
  <si>
    <t>1004610</t>
  </si>
  <si>
    <t>1001061</t>
  </si>
  <si>
    <t>1001515</t>
  </si>
  <si>
    <t>1005211</t>
  </si>
  <si>
    <t>1005278</t>
  </si>
  <si>
    <t>1004748</t>
  </si>
  <si>
    <t>1005098</t>
  </si>
  <si>
    <t>1005110</t>
  </si>
  <si>
    <t>1005023</t>
  </si>
  <si>
    <t>1005089</t>
  </si>
  <si>
    <t>1004954</t>
  </si>
  <si>
    <t>1004972</t>
  </si>
  <si>
    <t>1005107</t>
  </si>
  <si>
    <t>1004961</t>
  </si>
  <si>
    <t>1004931</t>
  </si>
  <si>
    <t>1004213</t>
  </si>
  <si>
    <t>1005144</t>
  </si>
  <si>
    <t>1003874</t>
  </si>
  <si>
    <t>1002858</t>
  </si>
  <si>
    <t>MIRIAM WAIRIMU NJERI</t>
  </si>
  <si>
    <t>GLADYS NAFULA ROTICH</t>
  </si>
  <si>
    <t>JOSPHINE   CHEPKIRUI</t>
  </si>
  <si>
    <t>DOROTHY   CHEROTICH</t>
  </si>
  <si>
    <t>RONALD   KIRUI</t>
  </si>
  <si>
    <t>DANIEL   RONO</t>
  </si>
  <si>
    <t>LILIAN CHEPNGETICH SIGEI</t>
  </si>
  <si>
    <t>KIPKIRUI RONOH WESLEY</t>
  </si>
  <si>
    <t>JOSEAH KIPLANGAT RONO</t>
  </si>
  <si>
    <t>JUDY   CHEPKEMOI</t>
  </si>
  <si>
    <t>CHARLES KIPRONO BORE</t>
  </si>
  <si>
    <t>IRENE WANGECI IRUNGU</t>
  </si>
  <si>
    <t>VERONICA  NJOKI  NGUMU</t>
  </si>
  <si>
    <t>RUTH KAGENDO NYAGA</t>
  </si>
  <si>
    <t>LYDIA NJURA MATENGURI</t>
  </si>
  <si>
    <t>SAPHINA IGOKI NJIRU</t>
  </si>
  <si>
    <t>JOYCE MBUYA NJIRU</t>
  </si>
  <si>
    <t>PURITY KARIMI MBOGO</t>
  </si>
  <si>
    <t>JEANROSE WANJA IRERI</t>
  </si>
  <si>
    <t>ERICK MWITI NKONGE</t>
  </si>
  <si>
    <t>NANCY KANYERIA GATHURU</t>
  </si>
  <si>
    <t>SELINA WAWIRA PENINAH</t>
  </si>
  <si>
    <t>ANN MURUGI NDWIGA</t>
  </si>
  <si>
    <t>NICHOLUS  KINYUA  NDWIGA</t>
  </si>
  <si>
    <t>CHARLES MWANGI MBURA</t>
  </si>
  <si>
    <t>FLORIDAH WAWIRA KIVUTI</t>
  </si>
  <si>
    <t>LAIZA WANJIRU NJIRU</t>
  </si>
  <si>
    <t>BLASIO BUNDI MUTHIKE</t>
  </si>
  <si>
    <t>GEORGE  RUTERE NJIRU</t>
  </si>
  <si>
    <t>GRACE WANJIRU MURIITHI</t>
  </si>
  <si>
    <t>CATHERINE MUTHONI KINYUA</t>
  </si>
  <si>
    <t>FAITH  NGITHI ITIMU</t>
  </si>
  <si>
    <t>JUSTIN NJIRU KINYUA</t>
  </si>
  <si>
    <t>JOYCE    WANJIKU</t>
  </si>
  <si>
    <t>JANE WANGECI KIURA</t>
  </si>
  <si>
    <t>PATISTA MATI NYAGA</t>
  </si>
  <si>
    <t>PURITY KARIMI IRERI</t>
  </si>
  <si>
    <t>CHARITY NGATHA NJERU</t>
  </si>
  <si>
    <t>LUCY WANGIRI NYAGA</t>
  </si>
  <si>
    <t>POLINE  WANJIRU NDEGWA</t>
  </si>
  <si>
    <t>EVALYNE KARIMI NJUE</t>
  </si>
  <si>
    <t>CATHRINE KARIMI NYAGA</t>
  </si>
  <si>
    <t>JACINTA NJOKI NDWIGA</t>
  </si>
  <si>
    <t>MONICA KALONDU WAMBUA</t>
  </si>
  <si>
    <t>AGNES WAMBUI GUCHU</t>
  </si>
  <si>
    <t>MAESTRO VIBES EVENTS LIMITED MASTRO VIBES</t>
  </si>
  <si>
    <t>AGNES NJERI KAMAU</t>
  </si>
  <si>
    <t>PHILOMENA MUMBI  KAROBIA</t>
  </si>
  <si>
    <t>FAITH KANANU KIREMA</t>
  </si>
  <si>
    <t>MOHDAR   ABUBAKAR</t>
  </si>
  <si>
    <t>NICHOLAS NGURE THAMAINI</t>
  </si>
  <si>
    <t>MIKE WARUIRU MBURU</t>
  </si>
  <si>
    <t>DENNIS KIMAKIA KIURA</t>
  </si>
  <si>
    <t>DOREEN  GACHERI MUGAMBI</t>
  </si>
  <si>
    <t>ERIC MUNENE MUGAMBI</t>
  </si>
  <si>
    <t>TABITHA MWIKALI MURUA</t>
  </si>
  <si>
    <t>EUNIS   KANANA</t>
  </si>
  <si>
    <t>EVALINE   NJERI</t>
  </si>
  <si>
    <t>MARGARET   NASIKE</t>
  </si>
  <si>
    <t>HAWA GALGALO ODHA</t>
  </si>
  <si>
    <t>IDAH MUTHONI MURUNGI</t>
  </si>
  <si>
    <t>GODFREY GITONGA  NJERU</t>
  </si>
  <si>
    <t>GRACE   KABIRITHO</t>
  </si>
  <si>
    <t>ELIAS   KINOTI</t>
  </si>
  <si>
    <t>JOY KANANA MIRITI</t>
  </si>
  <si>
    <t>GLORY   KATHURE</t>
  </si>
  <si>
    <t>JAMES MUTEMBEI DAVID</t>
  </si>
  <si>
    <t>EUNICE    MUKIRI</t>
  </si>
  <si>
    <t>CATHERINE KARIMI MUCHENA</t>
  </si>
  <si>
    <t>RUDIA KALIUNTU GICHUNGE</t>
  </si>
  <si>
    <t>NASHIPAE FRANCIS SUPADO</t>
  </si>
  <si>
    <t>CICILIA KAYARA BAARIU</t>
  </si>
  <si>
    <t>ROBERT KIRIMI MUNGANIA</t>
  </si>
  <si>
    <t>MARY NAKAYA EKIRU</t>
  </si>
  <si>
    <t>MARGARET EDUKAN NAKWAWI</t>
  </si>
  <si>
    <t>AGNES AYANAE LOWO</t>
  </si>
  <si>
    <t>JOSEPHINE  MULI  EKIRU</t>
  </si>
  <si>
    <t>VERIONICA    BAHATI</t>
  </si>
  <si>
    <t>SUSAN   LOWOI</t>
  </si>
  <si>
    <t>TONNIE AROT AYANGAN</t>
  </si>
  <si>
    <t>TERESIA NAPEYOK EPETET</t>
  </si>
  <si>
    <t>JENERICA   AKWANGELESHI</t>
  </si>
  <si>
    <t>PAULINE   NATUKOI</t>
  </si>
  <si>
    <t>JANE MUGURE NDERITU</t>
  </si>
  <si>
    <t>ROSE   KATHURE</t>
  </si>
  <si>
    <t>ZAINABU ROBA TADICHA</t>
  </si>
  <si>
    <t>JOSEPHENE   GACERI</t>
  </si>
  <si>
    <t>ZIPPORAH KARIMI PATRICK</t>
  </si>
  <si>
    <t>ESTHER KAUNGURU MICHUKI</t>
  </si>
  <si>
    <t>SARA IBRAHIM OSMAN</t>
  </si>
  <si>
    <t>MARTIN   MURIITHI</t>
  </si>
  <si>
    <t>FILA NKUENE M'KIRERA</t>
  </si>
  <si>
    <t>LULA   DIBA</t>
  </si>
  <si>
    <t>JUDITH   KANANU</t>
  </si>
  <si>
    <t>BENEDICTA   CHICHI</t>
  </si>
  <si>
    <t>ESTHER AKATOROT ALEX</t>
  </si>
  <si>
    <t>AGNES LORUMAN KAPOLON</t>
  </si>
  <si>
    <t>LUCIA LUJI EKUAN</t>
  </si>
  <si>
    <t>MARIA NAKADON EKAI</t>
  </si>
  <si>
    <t>JULIA ASPITAL MUREGI</t>
  </si>
  <si>
    <t>ERUPE   NAKWARE</t>
  </si>
  <si>
    <t>ANJELINA NAKENYWA FAEN</t>
  </si>
  <si>
    <t>VERONICA  DASKA OME</t>
  </si>
  <si>
    <t>STANLEY BUNDI M'MBOROKI</t>
  </si>
  <si>
    <t>ROSEMARY KAGWIRIA A'MAI'</t>
  </si>
  <si>
    <t>ELIZABETH KENDI KIRATHO</t>
  </si>
  <si>
    <t>JENIFER AUMA OUMA</t>
  </si>
  <si>
    <t>PATRICK MWIRIGI ELONGI</t>
  </si>
  <si>
    <t>AGNES   KAIRU</t>
  </si>
  <si>
    <t>NAOMI   WARUGURU</t>
  </si>
  <si>
    <t>EMMY   CHEPNGETICH</t>
  </si>
  <si>
    <t>JAMES MARK MARITIM</t>
  </si>
  <si>
    <t>IRENE   JERONO</t>
  </si>
  <si>
    <t>FLORAH   JEPNGETICH</t>
  </si>
  <si>
    <t>LILIAN   CHERONO</t>
  </si>
  <si>
    <t>JOYCE WANGARI MWANGI</t>
  </si>
  <si>
    <t>GLADYS  MUSILI NDANU</t>
  </si>
  <si>
    <t>RAEL MURONJI PETER</t>
  </si>
  <si>
    <t>SALINAH JELAGAT TOO</t>
  </si>
  <si>
    <t>DAVID   KIPKOECH</t>
  </si>
  <si>
    <t>ROSE  JEBET ROTICH</t>
  </si>
  <si>
    <t>CAROLINE   CHEMELI</t>
  </si>
  <si>
    <t>ABRAHAM KIBET TANUI</t>
  </si>
  <si>
    <t>MARY   WAIRIMU</t>
  </si>
  <si>
    <t>EUNICE   JEPKOROS</t>
  </si>
  <si>
    <t>KELVIN   INGANJI</t>
  </si>
  <si>
    <t>BENTA ADHIAMBO MATOKE</t>
  </si>
  <si>
    <t>ARNOTHER   CHEPNG'ETICH</t>
  </si>
  <si>
    <t>CARREN ATIENO OKITE</t>
  </si>
  <si>
    <t>ANNAH   CHEBET</t>
  </si>
  <si>
    <t>JOSEPHINE   JEPCHIRCHIR</t>
  </si>
  <si>
    <t>EMILY   JEPCHIRCHIR</t>
  </si>
  <si>
    <t>ESTHER   MWENESI</t>
  </si>
  <si>
    <t>JUDITH DAYO LWAKO</t>
  </si>
  <si>
    <t>NICHOLAS   MARITIM</t>
  </si>
  <si>
    <t>JOHN KIPLANGAT NGENY</t>
  </si>
  <si>
    <t>ALBERT MUROMA KISARA</t>
  </si>
  <si>
    <t>DINAH   JELAGAT</t>
  </si>
  <si>
    <t>JIMMY KIMUTAI LAGAT</t>
  </si>
  <si>
    <t>CHRISTINE   CHEPCHIRCHIE</t>
  </si>
  <si>
    <t>KITSAO ZIRO KARISA</t>
  </si>
  <si>
    <t>PATRICIA MNYAZI TUNE</t>
  </si>
  <si>
    <t>ELIZABETH TABU KEA</t>
  </si>
  <si>
    <t>HADIJA RAJAB HAMISI</t>
  </si>
  <si>
    <t>EUNICE VAATI MUTALIA</t>
  </si>
  <si>
    <t>TABU RANDU JAMES</t>
  </si>
  <si>
    <t>NEEMA KONDE MWATSA</t>
  </si>
  <si>
    <t>TAMAA CHARO KONDE</t>
  </si>
  <si>
    <t>MARY KADZITU MWATSA</t>
  </si>
  <si>
    <t>MBARAKA ISSA KOMBE</t>
  </si>
  <si>
    <t>GEORGIA   ATIENO</t>
  </si>
  <si>
    <t>BENSON BAYA  MWARO</t>
  </si>
  <si>
    <t>CHONI MWACHAKWE RIMBA</t>
  </si>
  <si>
    <t>AMINA KAINGU NZAI</t>
  </si>
  <si>
    <t>FRIDA NAZI MWACHIRU</t>
  </si>
  <si>
    <t>MAURINE KACHE KAZUNGU</t>
  </si>
  <si>
    <t>JACKSON BARAKA CHENGO</t>
  </si>
  <si>
    <t>HARO NGELENGE MWARINGA</t>
  </si>
  <si>
    <t>ALINOOR ABDINASIR ALI</t>
  </si>
  <si>
    <t>RUTH MBALA MBASHU</t>
  </si>
  <si>
    <t>LUKAS  OGWENO SEDA</t>
  </si>
  <si>
    <t>ELIAS MUMBA HINZANO</t>
  </si>
  <si>
    <t>CHARO KAINGU MAITA</t>
  </si>
  <si>
    <t>LINET UCHI SAFARI</t>
  </si>
  <si>
    <t>SHARON DEMBEKO KENNEDY</t>
  </si>
  <si>
    <t>YVONNE MBULA MUTIA</t>
  </si>
  <si>
    <t>JAMES OTIENO SEDA</t>
  </si>
  <si>
    <t>MARY MBENGE MBASHU</t>
  </si>
  <si>
    <t>PRISCILLAR KATANA MWALEWA</t>
  </si>
  <si>
    <t>KHADIJA KHAMISI MBILU</t>
  </si>
  <si>
    <t>ROSE DUME JIRA</t>
  </si>
  <si>
    <t>SHABANI BADI MWANENGO</t>
  </si>
  <si>
    <t>JOSEPH MWASAHA NZIVO</t>
  </si>
  <si>
    <t>MBETSA IDD KOMORA</t>
  </si>
  <si>
    <t>LINET MWAVITA MWARUMBA</t>
  </si>
  <si>
    <t>LILYANE KHADUSHI IHACHI</t>
  </si>
  <si>
    <t>ESTHER JUMWA KAHINDI</t>
  </si>
  <si>
    <t>SAID  NYANJE KENGA</t>
  </si>
  <si>
    <t>ZAWADI   KAHINDI</t>
  </si>
  <si>
    <t>JUMWA CHAI TSUWI</t>
  </si>
  <si>
    <t>BENARD  KIPLANGAT CHERUIYOT</t>
  </si>
  <si>
    <t>PHILIP CHERUIYOT SANG</t>
  </si>
  <si>
    <t>DOROTHY CHEPNGETICH MAIYWA</t>
  </si>
  <si>
    <t>ROSE   CHEPNGENO</t>
  </si>
  <si>
    <t>KASERAH DICKENS OCHIENG</t>
  </si>
  <si>
    <t>VIVIAN CHEPNGETICH KOECH</t>
  </si>
  <si>
    <t>FANCY CHEPKORIR SANG</t>
  </si>
  <si>
    <t>EVALINE CHEPKEMOI MOSONI</t>
  </si>
  <si>
    <t>DORCAS   CHELANGAT</t>
  </si>
  <si>
    <t>CHEMUTAI    NGENO</t>
  </si>
  <si>
    <t>DAIZY CHEPNGETICH ROP</t>
  </si>
  <si>
    <t>CYNTHIAR CHEPKIRUI CHEPKWONY</t>
  </si>
  <si>
    <t>FAITH CHEPKEMOI KEMEI</t>
  </si>
  <si>
    <t>JACKLINE CHEPKEMOI MUTAI</t>
  </si>
  <si>
    <t>CHEBET   PICOTY</t>
  </si>
  <si>
    <t>NAUMI CHELANGAT ROTICH</t>
  </si>
  <si>
    <t>CHRISTINE CHEPKEMOI LANGAT</t>
  </si>
  <si>
    <t>JANETH   CHEROTICH</t>
  </si>
  <si>
    <t>CAROLINE CHERONO BETT</t>
  </si>
  <si>
    <t>BILAH   CHEPKEMOI</t>
  </si>
  <si>
    <t>MERCY   CHELANGAT</t>
  </si>
  <si>
    <t>MARY KATUMBI KISWILI</t>
  </si>
  <si>
    <t>NDUNGE   NGULI</t>
  </si>
  <si>
    <t>LYSBETH NDINDA NDUTO</t>
  </si>
  <si>
    <t>THERESIAH NDUNGE WAMBUA</t>
  </si>
  <si>
    <t>REGINA NDINDA WAMBUA</t>
  </si>
  <si>
    <t>ANNASTACIA NDETE PAUL</t>
  </si>
  <si>
    <t>SUSAN MUTHEU MUSAI</t>
  </si>
  <si>
    <t>FELISTER NDULU KAMENDE</t>
  </si>
  <si>
    <t>CAROLINE KAKUVI KIVUVO</t>
  </si>
  <si>
    <t>CAROLYNE AKINYI KILONZO</t>
  </si>
  <si>
    <t>PETER   KITHEKA</t>
  </si>
  <si>
    <t>ESTHER NDUNGE KIILU</t>
  </si>
  <si>
    <t>CHRISTINE NTHIKWA MAINGI</t>
  </si>
  <si>
    <t>JACINTA  SYOKAU NGUI</t>
  </si>
  <si>
    <t>ELIZABETH VIVI SEMBA</t>
  </si>
  <si>
    <t>JANE MUNYIVA MUENDO</t>
  </si>
  <si>
    <t>CHRISTINA KAGENI MUNGERIA</t>
  </si>
  <si>
    <t>MAKENA   REGINA</t>
  </si>
  <si>
    <t>AGGREY SAGINI GUYO</t>
  </si>
  <si>
    <t>WINFED  KAARI HUSEBIU</t>
  </si>
  <si>
    <t>FLORIDAH MWARI MUKARIA</t>
  </si>
  <si>
    <t>PAUL NDUNGU NJANGIRI</t>
  </si>
  <si>
    <t>LAWRENCE NKUNJA M'ITURU</t>
  </si>
  <si>
    <t>REGINA   NCABANI</t>
  </si>
  <si>
    <t>PAULINA    GITONGA</t>
  </si>
  <si>
    <t>HARON   KARINGURA</t>
  </si>
  <si>
    <t>LYDIA   KATHURE</t>
  </si>
  <si>
    <t>FLORENCE NAITORE KARUTI</t>
  </si>
  <si>
    <t>CECILIA NKIROTE KANG'ETU</t>
  </si>
  <si>
    <t>FRANCIS   KUBAI</t>
  </si>
  <si>
    <t>LUCY KANANU M'IMPWI</t>
  </si>
  <si>
    <t>NAOME KANANU MUGWIKA</t>
  </si>
  <si>
    <t>SARAH KABURO M'CHOKERA</t>
  </si>
  <si>
    <t>JOY KAGURI KABARUA</t>
  </si>
  <si>
    <t>JANE KARIMI GITUMA</t>
  </si>
  <si>
    <t>TRIPHOSA KANINI MUTURA</t>
  </si>
  <si>
    <t>HARRIET   MUTHONI</t>
  </si>
  <si>
    <t>BESSY MITHIKA KARIUKI</t>
  </si>
  <si>
    <t>MERCY   KARIMI</t>
  </si>
  <si>
    <t>LUCY NKATHA KOOME</t>
  </si>
  <si>
    <t>CAROLINE KANANAU KAIGERA</t>
  </si>
  <si>
    <t>MARGARET   GACHERI</t>
  </si>
  <si>
    <t>VAOLET   MUTHONI</t>
  </si>
  <si>
    <t>DAVID  MWIRIGI NANGITHIA</t>
  </si>
  <si>
    <t>SHELMITH WAMBUI WAMAITHA</t>
  </si>
  <si>
    <t>SUSAN KANANU GITIJE</t>
  </si>
  <si>
    <t>MARY   KANYATTA</t>
  </si>
  <si>
    <t>AGNES   KARAMBU</t>
  </si>
  <si>
    <t>CHARITY NKIROTE M' MUKARIA</t>
  </si>
  <si>
    <t>GRACE WANJIRU KIHARA</t>
  </si>
  <si>
    <t>NANCY   KAWIRA</t>
  </si>
  <si>
    <t>EMMAH WANJIKU NJIHIA</t>
  </si>
  <si>
    <t>SALOME   GACHERI</t>
  </si>
  <si>
    <t>MARTINA NTHIORI MBOGORI</t>
  </si>
  <si>
    <t>SUSAN KARIMI MBURUGU</t>
  </si>
  <si>
    <t>JULIUS KIMATHI M"INOTI</t>
  </si>
  <si>
    <t>RAEL   MUTHONI</t>
  </si>
  <si>
    <t>SALOME   GAKII</t>
  </si>
  <si>
    <t>CHARWIN   KAGENDO</t>
  </si>
  <si>
    <t>JANE   NDUMBA</t>
  </si>
  <si>
    <t>GRACE KARAMUTA KIMATHI</t>
  </si>
  <si>
    <t>CATHERINE GACERI MUTWIRI</t>
  </si>
  <si>
    <t>RAEL   KAIGONGI</t>
  </si>
  <si>
    <t>MARY   KAIRUTHI</t>
  </si>
  <si>
    <t>DAMARIS   NTINYARI</t>
  </si>
  <si>
    <t>PURITY MWENDWA MWENDA</t>
  </si>
  <si>
    <t>FAITH GATWIRI KIUMBE</t>
  </si>
  <si>
    <t>KENNEDY MUSAU WAYUA</t>
  </si>
  <si>
    <t>MICHAEL MUIRURI NJENGA</t>
  </si>
  <si>
    <t>JOHN KURIA MUCHAI</t>
  </si>
  <si>
    <t>NELSON WANJOHI MURIITHI</t>
  </si>
  <si>
    <t>ZAWERIA NYOKABI GICHURE</t>
  </si>
  <si>
    <t>ALICE   MUTHONI</t>
  </si>
  <si>
    <t>GRACE   KYAMBI</t>
  </si>
  <si>
    <t>ROSE NYAGUTHII GICHERU</t>
  </si>
  <si>
    <t>SERAPHINE MUREI MBITHI</t>
  </si>
  <si>
    <t>SAMUEL MAHINDA WACHIRA</t>
  </si>
  <si>
    <t>KESHLUBES  KENYA LTD</t>
  </si>
  <si>
    <t>BETTY MUKAMI MICHENI</t>
  </si>
  <si>
    <t>MOUREEN ACHIENG OKINDA</t>
  </si>
  <si>
    <t>ANTHONY KARANJA KAMAU</t>
  </si>
  <si>
    <t>BENARD TOBIKO NTEMEL</t>
  </si>
  <si>
    <t>JAMES WAIRIA THUO</t>
  </si>
  <si>
    <t>EMELDA NJOKI KIMARU</t>
  </si>
  <si>
    <t>MARY WAIRIMU MUCHAI</t>
  </si>
  <si>
    <t>Nicholas Gitonga Mwangi</t>
  </si>
  <si>
    <t>SARAH GATHONI NJOROGE</t>
  </si>
  <si>
    <t>CAROLYNE AKINYI OCHIENG</t>
  </si>
  <si>
    <t>MAUREEN MWENDE NYANZI</t>
  </si>
  <si>
    <t>IRENE AUMA OTIENO</t>
  </si>
  <si>
    <t>WILLIAM ODHIAMBO AGOLA</t>
  </si>
  <si>
    <t>DANIEL MUNYWOKI KIKUVI</t>
  </si>
  <si>
    <t>MUSYOKA   KITHEKA</t>
  </si>
  <si>
    <t>DAVID OCHIENG' ODONGO</t>
  </si>
  <si>
    <t>BENEDETTA  KANINI MBAKI</t>
  </si>
  <si>
    <t>ERIC KIMANI GICHANGA</t>
  </si>
  <si>
    <t>MILKA KEMUNTO SOSI</t>
  </si>
  <si>
    <t>NAUM   CHEPCHUMBA</t>
  </si>
  <si>
    <t>THOMAS MBUYA OKWEMBA</t>
  </si>
  <si>
    <t>IRENE CHENGETICH SITIENEI</t>
  </si>
  <si>
    <t>FREDRICK OMONDI OMOLLO</t>
  </si>
  <si>
    <t>DAVID KIPKOECH BIRGEN</t>
  </si>
  <si>
    <t>DUNCAN KIPROTICH MISIK</t>
  </si>
  <si>
    <t>PATRICK KIBIWOT SANG</t>
  </si>
  <si>
    <t>JULIA OKANDE AWINO</t>
  </si>
  <si>
    <t>IRENE   KOSGEI</t>
  </si>
  <si>
    <t>JANE  KIPSANG CHEMELI</t>
  </si>
  <si>
    <t>WILSON ISALIKHO LUSIMBI</t>
  </si>
  <si>
    <t>SHEILA   SANGA</t>
  </si>
  <si>
    <t>RUTH   JEPTOO</t>
  </si>
  <si>
    <t>MAUREEN   CHEROTICH</t>
  </si>
  <si>
    <t>FLOMENA   JELAGAT</t>
  </si>
  <si>
    <t>EDNA   CHEROTICH</t>
  </si>
  <si>
    <t>SUSAN   JEBOTIP</t>
  </si>
  <si>
    <t>SHARON CHEPTOO MUTAI</t>
  </si>
  <si>
    <t>LILIAN CHEROP KOGO</t>
  </si>
  <si>
    <t>FRANCIS KIBET TOWEI</t>
  </si>
  <si>
    <t>IRINE   KEMUNTO</t>
  </si>
  <si>
    <t>MERCY ATIENO ACHAYO</t>
  </si>
  <si>
    <t>DAVID OTIENO OTUODI</t>
  </si>
  <si>
    <t>SALOME CHEROTICH KOECH</t>
  </si>
  <si>
    <t>WELDON KIPKORIR KIRUI</t>
  </si>
  <si>
    <t>EDDAH CHEPKEMOI KORIR</t>
  </si>
  <si>
    <t>ROSE CHEPKURUI SANG</t>
  </si>
  <si>
    <t>JOSEPH  OMENTA MARIRI</t>
  </si>
  <si>
    <t>JESCA CHEROTICH KOECH</t>
  </si>
  <si>
    <t>EZRA KIPYEGON NGENO</t>
  </si>
  <si>
    <t>ROSALINE  CHERONO LANGAT</t>
  </si>
  <si>
    <t>ANTHONY KIPKORIR NGENO</t>
  </si>
  <si>
    <t>CHEPKOECH LILIAN RONO</t>
  </si>
  <si>
    <t>BEATRICE   CHEPKORIR</t>
  </si>
  <si>
    <t>REGINA   CHEBET</t>
  </si>
  <si>
    <t>MONICAH CHEROTICH ANGAT</t>
  </si>
  <si>
    <t>MARGARET CHEPKEMOI NGENO</t>
  </si>
  <si>
    <t>GLADYS   CHELANGAT</t>
  </si>
  <si>
    <t>CHEPKOECH   JOAN</t>
  </si>
  <si>
    <t>BENARD kiprono kigen</t>
  </si>
  <si>
    <t>JOYCE CHEPKURUI MIBEI</t>
  </si>
  <si>
    <t>JANE  CHERONO MITEI</t>
  </si>
  <si>
    <t>CHEPKIRUI   JACKLINE</t>
  </si>
  <si>
    <t>FLORIDA CHELANGAT TONUI</t>
  </si>
  <si>
    <t>FAITH   CHEPKIRUI</t>
  </si>
  <si>
    <t>SHARON CHEPKORIR LANGAT</t>
  </si>
  <si>
    <t>NELLY   CHEPKOECH</t>
  </si>
  <si>
    <t>REGINA  CHEPKURUI BII</t>
  </si>
  <si>
    <t>SELINAH CHEPKIRUI SOI</t>
  </si>
  <si>
    <t>JACKLINE  CHERONO KIRUI</t>
  </si>
  <si>
    <t>IRINE   CHELANGAT</t>
  </si>
  <si>
    <t>ROBERT  KIBET TONUI</t>
  </si>
  <si>
    <t>KORIR   FESTUS</t>
  </si>
  <si>
    <t>WESLEY KIPKIRUI NGENO</t>
  </si>
  <si>
    <t>IVONE   CHEPKOECH</t>
  </si>
  <si>
    <t>GEOFFREY YIDA MULEKE</t>
  </si>
  <si>
    <t>WILIAM ODERO OMONDI</t>
  </si>
  <si>
    <t>NICHOLAS ODUOR OGOLA</t>
  </si>
  <si>
    <t>SARAH   JEPKOECH</t>
  </si>
  <si>
    <t>STEPHEN OUMA MUGUNDHI</t>
  </si>
  <si>
    <t>MARY DAINAH ASITUHA</t>
  </si>
  <si>
    <t>DAVID ODHIAMBO NYANJONG'</t>
  </si>
  <si>
    <t>ERICK SITIENEI MURSI</t>
  </si>
  <si>
    <t>JACKSON   RUTO</t>
  </si>
  <si>
    <t>MIKA   KIPCHIRCHIR</t>
  </si>
  <si>
    <t>JULIUS KIPKOSGEI KONGAI</t>
  </si>
  <si>
    <t>IMERE ALUDA MAXIMILLAH</t>
  </si>
  <si>
    <t>SALLY   JELAGAT</t>
  </si>
  <si>
    <t>WALTER   KIDIGA</t>
  </si>
  <si>
    <t>LINET VINAYWA ASIAVUKAYA</t>
  </si>
  <si>
    <t>SELINA MAKUNGU MAKUNGU</t>
  </si>
  <si>
    <t>GLADYS VIGEHI VUSUTU</t>
  </si>
  <si>
    <t>JANET MBALAKA SHAKA</t>
  </si>
  <si>
    <t>SAMWEL ORENGO NDENDA</t>
  </si>
  <si>
    <t>DORICAS LOYCE KEYA KHAMALA</t>
  </si>
  <si>
    <t>STEPHEN KIPKEMBOI LIMO</t>
  </si>
  <si>
    <t>SALOME    IDALIA</t>
  </si>
  <si>
    <t>FRANCIS   SAVAI</t>
  </si>
  <si>
    <t>EVERLYNE ANYANGO OGWANG</t>
  </si>
  <si>
    <t>NANCY IMINZA INDULAJI</t>
  </si>
  <si>
    <t>ISABERAH   KHAZENJZI</t>
  </si>
  <si>
    <t>BEATRICE SHIHANUA MUYEGU</t>
  </si>
  <si>
    <t>MAXWEL KIPRUTO LETING</t>
  </si>
  <si>
    <t>WYCLIFFE ODARI AMWAMU</t>
  </si>
  <si>
    <t>PRISCA GATI THOMAS</t>
  </si>
  <si>
    <t>YUCABETH   JESIRO</t>
  </si>
  <si>
    <t>BONFACE   OMUDI</t>
  </si>
  <si>
    <t>SABELA NABWIRE MULOMI</t>
  </si>
  <si>
    <t>SAUMU USIDE ABDALLAH</t>
  </si>
  <si>
    <t>MAULINE   SAVAI</t>
  </si>
  <si>
    <t>MILICENT AWINO OGANDA</t>
  </si>
  <si>
    <t>MARY MALOJO AMWOGA</t>
  </si>
  <si>
    <t>SUSAN   MAKHUNGU</t>
  </si>
  <si>
    <t>JACQUELYNE NANJALA SINGORO</t>
  </si>
  <si>
    <t>DICKSON WAMUKOYA KADIMA</t>
  </si>
  <si>
    <t>ESTHER EGADIZI OYIGO</t>
  </si>
  <si>
    <t>JULIUS KIBET TIONGIK</t>
  </si>
  <si>
    <t>JOYCE VOSE KIMAIYO</t>
  </si>
  <si>
    <t>MILDRED IRAMWENYA JENGO</t>
  </si>
  <si>
    <t>FLORENCE MUSULUVE MIGAMBIRANO</t>
  </si>
  <si>
    <t>GLADYS KHAVERE SHIMBIRA</t>
  </si>
  <si>
    <t>SUSAN   MUHAMBE</t>
  </si>
  <si>
    <t>MARGARET VUGUTSA KISARANYA</t>
  </si>
  <si>
    <t>NOLEGA  MUHAVI ALULU</t>
  </si>
  <si>
    <t>CYNTHIA   KARITHI</t>
  </si>
  <si>
    <t>SALOME MUKEITHI MUNGORI</t>
  </si>
  <si>
    <t>PROFESSOR MWITHAIRI KAMWARA</t>
  </si>
  <si>
    <t>JOSEPH MUNENE MUGAO</t>
  </si>
  <si>
    <t>STELLAH KARITHI KIRIA</t>
  </si>
  <si>
    <t>JOSEPH KIRIMI KIMATHI</t>
  </si>
  <si>
    <t>LAWRENCE KIREA KIREMA</t>
  </si>
  <si>
    <t>FRIDA KAGENDO KANGAYIA</t>
  </si>
  <si>
    <t>MARGARET KARIMI MUTE</t>
  </si>
  <si>
    <t>JOSEPH TUUKA NDATHO</t>
  </si>
  <si>
    <t>JACINTA GACHIRI KIBAARA</t>
  </si>
  <si>
    <t>JANE   KATHIINI</t>
  </si>
  <si>
    <t>LUCY WANJA GITONGA</t>
  </si>
  <si>
    <t>PATRICK GITARI ELIAS</t>
  </si>
  <si>
    <t>CAROLINE GATWIRI KAARIA</t>
  </si>
  <si>
    <t>VACITY MUTHONI MBAKA</t>
  </si>
  <si>
    <t>TARASILA MUTHONI INYASIO</t>
  </si>
  <si>
    <t>MAUTA CAROLYN KAGENDO</t>
  </si>
  <si>
    <t>BETTY MWENDE MBABU</t>
  </si>
  <si>
    <t>FRIDAH  GACHERI NJERU</t>
  </si>
  <si>
    <t>EMISS GATWIRI KIRIMO</t>
  </si>
  <si>
    <t>JOAKIM GITONGA MAUNGA</t>
  </si>
  <si>
    <t>JOSPHAT   MUGAO</t>
  </si>
  <si>
    <t>DORIS   KAGENDO</t>
  </si>
  <si>
    <t>REGINA KARIGU MUTURI</t>
  </si>
  <si>
    <t>0748370239</t>
  </si>
  <si>
    <t>0112062765</t>
  </si>
  <si>
    <t>0722750288</t>
  </si>
  <si>
    <t>0727241035</t>
  </si>
  <si>
    <t>0704856375</t>
  </si>
  <si>
    <t>0796304244</t>
  </si>
  <si>
    <t>0723062276</t>
  </si>
  <si>
    <t>0711195621</t>
  </si>
  <si>
    <t>0724221156</t>
  </si>
  <si>
    <t>0712008092</t>
  </si>
  <si>
    <t>0712170051</t>
  </si>
  <si>
    <t>0727330666</t>
  </si>
  <si>
    <t>0798787110</t>
  </si>
  <si>
    <t>0768999858</t>
  </si>
  <si>
    <t>0797757716</t>
  </si>
  <si>
    <t>0716331926</t>
  </si>
  <si>
    <t>0759504317</t>
  </si>
  <si>
    <t>0112567631</t>
  </si>
  <si>
    <t>0757545519</t>
  </si>
  <si>
    <t>0711505262</t>
  </si>
  <si>
    <t>0727610206</t>
  </si>
  <si>
    <t>0715327158</t>
  </si>
  <si>
    <t>0793898433</t>
  </si>
  <si>
    <t>0728080328</t>
  </si>
  <si>
    <t>0723858727</t>
  </si>
  <si>
    <t>0711130352</t>
  </si>
  <si>
    <t>0713321713</t>
  </si>
  <si>
    <t>0714197293</t>
  </si>
  <si>
    <t>0727303075</t>
  </si>
  <si>
    <t>0741491453</t>
  </si>
  <si>
    <t>0726399437</t>
  </si>
  <si>
    <t>0712137572</t>
  </si>
  <si>
    <t>0795602586</t>
  </si>
  <si>
    <t>0742609466</t>
  </si>
  <si>
    <t>0769205201</t>
  </si>
  <si>
    <t>0727200334</t>
  </si>
  <si>
    <t>0707982258</t>
  </si>
  <si>
    <t>0115289206</t>
  </si>
  <si>
    <t>0715233590</t>
  </si>
  <si>
    <t>0713436785</t>
  </si>
  <si>
    <t>0713286450</t>
  </si>
  <si>
    <t>0700616160</t>
  </si>
  <si>
    <t>0722154700</t>
  </si>
  <si>
    <t>0723230036</t>
  </si>
  <si>
    <t>0722144954</t>
  </si>
  <si>
    <t>0729462479</t>
  </si>
  <si>
    <t>0726759780</t>
  </si>
  <si>
    <t>0728247589</t>
  </si>
  <si>
    <t>0722775786</t>
  </si>
  <si>
    <t>0703620370</t>
  </si>
  <si>
    <t>0720432214</t>
  </si>
  <si>
    <t>0721260831</t>
  </si>
  <si>
    <t>0722477935</t>
  </si>
  <si>
    <t>0700737300</t>
  </si>
  <si>
    <t>0721873005</t>
  </si>
  <si>
    <t>0718433802</t>
  </si>
  <si>
    <t>0715048936</t>
  </si>
  <si>
    <t>0712808240</t>
  </si>
  <si>
    <t>0700767460</t>
  </si>
  <si>
    <t>0799697776</t>
  </si>
  <si>
    <t>0723590731</t>
  </si>
  <si>
    <t>0741897734</t>
  </si>
  <si>
    <t>0790669539</t>
  </si>
  <si>
    <t>0716953870</t>
  </si>
  <si>
    <t>0795967926</t>
  </si>
  <si>
    <t>0798936394</t>
  </si>
  <si>
    <t>0712079659</t>
  </si>
  <si>
    <t>0740703479</t>
  </si>
  <si>
    <t>0714427049</t>
  </si>
  <si>
    <t>0745976145</t>
  </si>
  <si>
    <t>0712707270</t>
  </si>
  <si>
    <t>0701705550</t>
  </si>
  <si>
    <t>0725443345</t>
  </si>
  <si>
    <t>0725706266</t>
  </si>
  <si>
    <t>0790761998</t>
  </si>
  <si>
    <t>0757101187</t>
  </si>
  <si>
    <t>0712532726</t>
  </si>
  <si>
    <t>0716418113</t>
  </si>
  <si>
    <t>0715600196</t>
  </si>
  <si>
    <t>0790628812</t>
  </si>
  <si>
    <t>0799067033</t>
  </si>
  <si>
    <t>0769834278</t>
  </si>
  <si>
    <t>0793747691</t>
  </si>
  <si>
    <t>0710574190</t>
  </si>
  <si>
    <t>0727023094</t>
  </si>
  <si>
    <t>0728544304</t>
  </si>
  <si>
    <t>0717933960</t>
  </si>
  <si>
    <t>0118672056</t>
  </si>
  <si>
    <t>0723744932</t>
  </si>
  <si>
    <t>0725309235</t>
  </si>
  <si>
    <t>0725336959</t>
  </si>
  <si>
    <t>0702369521</t>
  </si>
  <si>
    <t>0759612740</t>
  </si>
  <si>
    <t>0758261603</t>
  </si>
  <si>
    <t>0798574997</t>
  </si>
  <si>
    <t>0741426193</t>
  </si>
  <si>
    <t>0798261147</t>
  </si>
  <si>
    <t>0706738100</t>
  </si>
  <si>
    <t>0743519756</t>
  </si>
  <si>
    <t>0708364578</t>
  </si>
  <si>
    <t>0745952968</t>
  </si>
  <si>
    <t>0717900670</t>
  </si>
  <si>
    <t>0742921070</t>
  </si>
  <si>
    <t>0790913671</t>
  </si>
  <si>
    <t>0713058806</t>
  </si>
  <si>
    <t>0721992629</t>
  </si>
  <si>
    <t>0700615704</t>
  </si>
  <si>
    <t>0729229717</t>
  </si>
  <si>
    <t>0728688881</t>
  </si>
  <si>
    <t>0721731832</t>
  </si>
  <si>
    <t>0724536348</t>
  </si>
  <si>
    <t>0720706255</t>
  </si>
  <si>
    <t>0708395372</t>
  </si>
  <si>
    <t>0721130522</t>
  </si>
  <si>
    <t>0791915777</t>
  </si>
  <si>
    <t>0704307656</t>
  </si>
  <si>
    <t>0705096101</t>
  </si>
  <si>
    <t>0114605149</t>
  </si>
  <si>
    <t>0710491350</t>
  </si>
  <si>
    <t>0719315826</t>
  </si>
  <si>
    <t>0727738118</t>
  </si>
  <si>
    <t>0720701708</t>
  </si>
  <si>
    <t>0726874877</t>
  </si>
  <si>
    <t>0714162590</t>
  </si>
  <si>
    <t>0718045403</t>
  </si>
  <si>
    <t>0743318077</t>
  </si>
  <si>
    <t>0791882997</t>
  </si>
  <si>
    <t>0704551192</t>
  </si>
  <si>
    <t>0795133692</t>
  </si>
  <si>
    <t>0723241986</t>
  </si>
  <si>
    <t>0748226882</t>
  </si>
  <si>
    <t>0719610640</t>
  </si>
  <si>
    <t>0720794270</t>
  </si>
  <si>
    <t>0722268579</t>
  </si>
  <si>
    <t>0712193854</t>
  </si>
  <si>
    <t>0726549267</t>
  </si>
  <si>
    <t>0718737428</t>
  </si>
  <si>
    <t>0710972553</t>
  </si>
  <si>
    <t>0729316709</t>
  </si>
  <si>
    <t>0723229550</t>
  </si>
  <si>
    <t>0746479083</t>
  </si>
  <si>
    <t>0726525191</t>
  </si>
  <si>
    <t>0720997075</t>
  </si>
  <si>
    <t>0741925167</t>
  </si>
  <si>
    <t>0798351074</t>
  </si>
  <si>
    <t>0791937413</t>
  </si>
  <si>
    <t>0794415342</t>
  </si>
  <si>
    <t>0799467158</t>
  </si>
  <si>
    <t>0792748183</t>
  </si>
  <si>
    <t>0720866593</t>
  </si>
  <si>
    <t>0702939226</t>
  </si>
  <si>
    <t>0742299914</t>
  </si>
  <si>
    <t>0703212887</t>
  </si>
  <si>
    <t>0745362491</t>
  </si>
  <si>
    <t>0705953060</t>
  </si>
  <si>
    <t>0741621696</t>
  </si>
  <si>
    <t>0759457368</t>
  </si>
  <si>
    <t>0714384127</t>
  </si>
  <si>
    <t>0742412352</t>
  </si>
  <si>
    <t>0704748854</t>
  </si>
  <si>
    <t>0723978378</t>
  </si>
  <si>
    <t>0706348606</t>
  </si>
  <si>
    <t>0741977874</t>
  </si>
  <si>
    <t>0711853931</t>
  </si>
  <si>
    <t>0757391367</t>
  </si>
  <si>
    <t>0700484730</t>
  </si>
  <si>
    <t>0718615547</t>
  </si>
  <si>
    <t>0703829867</t>
  </si>
  <si>
    <t>0112479975</t>
  </si>
  <si>
    <t>0718166428</t>
  </si>
  <si>
    <t>0799455452</t>
  </si>
  <si>
    <t>0721731798</t>
  </si>
  <si>
    <t>0729743281</t>
  </si>
  <si>
    <t>0769481920</t>
  </si>
  <si>
    <t>0706353788</t>
  </si>
  <si>
    <t>0790465764</t>
  </si>
  <si>
    <t>0794309586</t>
  </si>
  <si>
    <t>0793900395</t>
  </si>
  <si>
    <t>0743510604</t>
  </si>
  <si>
    <t>0712624126</t>
  </si>
  <si>
    <t>0726660740</t>
  </si>
  <si>
    <t>0725329795</t>
  </si>
  <si>
    <t>0790686117</t>
  </si>
  <si>
    <t>0725823277</t>
  </si>
  <si>
    <t>0721995831</t>
  </si>
  <si>
    <t>0742925404</t>
  </si>
  <si>
    <t>0726331353</t>
  </si>
  <si>
    <t>0726495314</t>
  </si>
  <si>
    <t>0719337737</t>
  </si>
  <si>
    <t>0725854428</t>
  </si>
  <si>
    <t>0710130001</t>
  </si>
  <si>
    <t>0706701502</t>
  </si>
  <si>
    <t>0743800639</t>
  </si>
  <si>
    <t>0702272978</t>
  </si>
  <si>
    <t>0711390913</t>
  </si>
  <si>
    <t>0743867773</t>
  </si>
  <si>
    <t>0724703906</t>
  </si>
  <si>
    <t>0702284715</t>
  </si>
  <si>
    <t>0718360353</t>
  </si>
  <si>
    <t>0716121061</t>
  </si>
  <si>
    <t>0713842152</t>
  </si>
  <si>
    <t>0716317872</t>
  </si>
  <si>
    <t>0793857504</t>
  </si>
  <si>
    <t>0729635098</t>
  </si>
  <si>
    <t>0794755852</t>
  </si>
  <si>
    <t>0793858295</t>
  </si>
  <si>
    <t>0768376633</t>
  </si>
  <si>
    <t>0743445813</t>
  </si>
  <si>
    <t>0703988357</t>
  </si>
  <si>
    <t>0711413614</t>
  </si>
  <si>
    <t>0721170902</t>
  </si>
  <si>
    <t>0722473168</t>
  </si>
  <si>
    <t>0705313423</t>
  </si>
  <si>
    <t>0759471750</t>
  </si>
  <si>
    <t>0706631618</t>
  </si>
  <si>
    <t>0701882422</t>
  </si>
  <si>
    <t>0711932601</t>
  </si>
  <si>
    <t>0798241255</t>
  </si>
  <si>
    <t>0741759475</t>
  </si>
  <si>
    <t>0705632831</t>
  </si>
  <si>
    <t>0704066478</t>
  </si>
  <si>
    <t>0727515262</t>
  </si>
  <si>
    <t>0720517222</t>
  </si>
  <si>
    <t>0727716405</t>
  </si>
  <si>
    <t>0799110348</t>
  </si>
  <si>
    <t>0718182864</t>
  </si>
  <si>
    <t>0795418037</t>
  </si>
  <si>
    <t>0794792733</t>
  </si>
  <si>
    <t>0711406133</t>
  </si>
  <si>
    <t>0713463798</t>
  </si>
  <si>
    <t>0711958858</t>
  </si>
  <si>
    <t>0113913378</t>
  </si>
  <si>
    <t>0727654086</t>
  </si>
  <si>
    <t>0111516134</t>
  </si>
  <si>
    <t>0746844479</t>
  </si>
  <si>
    <t>0721765997</t>
  </si>
  <si>
    <t>0717531659</t>
  </si>
  <si>
    <t>0714836322</t>
  </si>
  <si>
    <t>0715760573</t>
  </si>
  <si>
    <t>0111355997</t>
  </si>
  <si>
    <t>0711912303</t>
  </si>
  <si>
    <t>0728852090</t>
  </si>
  <si>
    <t>0701249394</t>
  </si>
  <si>
    <t>0768850609</t>
  </si>
  <si>
    <t>0742172211</t>
  </si>
  <si>
    <t>0702397293</t>
  </si>
  <si>
    <t>0719223823</t>
  </si>
  <si>
    <t>0711915933</t>
  </si>
  <si>
    <t>0724927894</t>
  </si>
  <si>
    <t>0723282213</t>
  </si>
  <si>
    <t>0713338005</t>
  </si>
  <si>
    <t>0704116398</t>
  </si>
  <si>
    <t>0743114928</t>
  </si>
  <si>
    <t>0743745019</t>
  </si>
  <si>
    <t>0112947980</t>
  </si>
  <si>
    <t>0721638145</t>
  </si>
  <si>
    <t>0791862816</t>
  </si>
  <si>
    <t>0740617062</t>
  </si>
  <si>
    <t>0707825815</t>
  </si>
  <si>
    <t>0704844759</t>
  </si>
  <si>
    <t>0113591989</t>
  </si>
  <si>
    <t>0726950662</t>
  </si>
  <si>
    <t>0721142425</t>
  </si>
  <si>
    <t>0743350477</t>
  </si>
  <si>
    <t>0721586348</t>
  </si>
  <si>
    <t>0712717893</t>
  </si>
  <si>
    <t>0713077823</t>
  </si>
  <si>
    <t>0741108122</t>
  </si>
  <si>
    <t>0705783210</t>
  </si>
  <si>
    <t>0721390573</t>
  </si>
  <si>
    <t>0724266990</t>
  </si>
  <si>
    <t>0729972648</t>
  </si>
  <si>
    <t>0722774562</t>
  </si>
  <si>
    <t>0722384468</t>
  </si>
  <si>
    <t>0721146681</t>
  </si>
  <si>
    <t>0720624971</t>
  </si>
  <si>
    <t>0720271065</t>
  </si>
  <si>
    <t>0724470815</t>
  </si>
  <si>
    <t>0722333520</t>
  </si>
  <si>
    <t>0723871868</t>
  </si>
  <si>
    <t>0726864263</t>
  </si>
  <si>
    <t>0722750233</t>
  </si>
  <si>
    <t>0714981837</t>
  </si>
  <si>
    <t>0726238869</t>
  </si>
  <si>
    <t>0720869219</t>
  </si>
  <si>
    <t>0725770890</t>
  </si>
  <si>
    <t>0721483439</t>
  </si>
  <si>
    <t>0721841644</t>
  </si>
  <si>
    <t>0704643294</t>
  </si>
  <si>
    <t>0721412939</t>
  </si>
  <si>
    <t>0727687832</t>
  </si>
  <si>
    <t>0723291205</t>
  </si>
  <si>
    <t>0721657239</t>
  </si>
  <si>
    <t>0721925449</t>
  </si>
  <si>
    <t>0727008092</t>
  </si>
  <si>
    <t>0725218029</t>
  </si>
  <si>
    <t>0712227060</t>
  </si>
  <si>
    <t>0714211581</t>
  </si>
  <si>
    <t>0721327293</t>
  </si>
  <si>
    <t>0713695134</t>
  </si>
  <si>
    <t>0728575758</t>
  </si>
  <si>
    <t>0112806540</t>
  </si>
  <si>
    <t>0723291028</t>
  </si>
  <si>
    <t>0710110121</t>
  </si>
  <si>
    <t>0712333551</t>
  </si>
  <si>
    <t>0796670757</t>
  </si>
  <si>
    <t>0729387992</t>
  </si>
  <si>
    <t>0742076775</t>
  </si>
  <si>
    <t>0742535242</t>
  </si>
  <si>
    <t>0791581981</t>
  </si>
  <si>
    <t>0724316978</t>
  </si>
  <si>
    <t>0727815410</t>
  </si>
  <si>
    <t>0729720616</t>
  </si>
  <si>
    <t>0713787506</t>
  </si>
  <si>
    <t>0706891693</t>
  </si>
  <si>
    <t>0708115240</t>
  </si>
  <si>
    <t>0703941025</t>
  </si>
  <si>
    <t>0723297750</t>
  </si>
  <si>
    <t>0725455848</t>
  </si>
  <si>
    <t>0113944603</t>
  </si>
  <si>
    <t>0724524497</t>
  </si>
  <si>
    <t>0700322968</t>
  </si>
  <si>
    <t>0725065419</t>
  </si>
  <si>
    <t>0727010869</t>
  </si>
  <si>
    <t>0798103014</t>
  </si>
  <si>
    <t>0713465703</t>
  </si>
  <si>
    <t>0727876736</t>
  </si>
  <si>
    <t>0707652635</t>
  </si>
  <si>
    <t>0757246292</t>
  </si>
  <si>
    <t>0718242340</t>
  </si>
  <si>
    <t>0710764520</t>
  </si>
  <si>
    <t>0715707619</t>
  </si>
  <si>
    <t>0720157886</t>
  </si>
  <si>
    <t>0743802589</t>
  </si>
  <si>
    <t>0716927814</t>
  </si>
  <si>
    <t>0726502797</t>
  </si>
  <si>
    <t>0717704532</t>
  </si>
  <si>
    <t>0710757025</t>
  </si>
  <si>
    <t>0729774464</t>
  </si>
  <si>
    <t>0723327067</t>
  </si>
  <si>
    <t>0705716789</t>
  </si>
  <si>
    <t>0719108982</t>
  </si>
  <si>
    <t>0793552070</t>
  </si>
  <si>
    <t>0796917503</t>
  </si>
  <si>
    <t>0142111331</t>
  </si>
  <si>
    <t>0768862241</t>
  </si>
  <si>
    <t>0715354220</t>
  </si>
  <si>
    <t>0711115679</t>
  </si>
  <si>
    <t>0704808443</t>
  </si>
  <si>
    <t>0711420582</t>
  </si>
  <si>
    <t>0798757205</t>
  </si>
  <si>
    <t>0748245593</t>
  </si>
  <si>
    <t>0702132194</t>
  </si>
  <si>
    <t>0725636946</t>
  </si>
  <si>
    <t>0741887100</t>
  </si>
  <si>
    <t>0716035933</t>
  </si>
  <si>
    <t>0798356325</t>
  </si>
  <si>
    <t>0721424054</t>
  </si>
  <si>
    <t>0725329332</t>
  </si>
  <si>
    <t>0729228904</t>
  </si>
  <si>
    <t>0719336478</t>
  </si>
  <si>
    <t>0722858691</t>
  </si>
  <si>
    <t>0726879605</t>
  </si>
  <si>
    <t>0717053621</t>
  </si>
  <si>
    <t>0710787936</t>
  </si>
  <si>
    <t>0704312204</t>
  </si>
  <si>
    <t>0759195819</t>
  </si>
  <si>
    <t>0722178422</t>
  </si>
  <si>
    <t>0703260990</t>
  </si>
  <si>
    <t>0797224537</t>
  </si>
  <si>
    <t>0708343738</t>
  </si>
  <si>
    <t>0740930669</t>
  </si>
  <si>
    <t>0717755972</t>
  </si>
  <si>
    <t>0724080405</t>
  </si>
  <si>
    <t>0722830487</t>
  </si>
  <si>
    <t>0790575834</t>
  </si>
  <si>
    <t>0792385436</t>
  </si>
  <si>
    <t>0726002073</t>
  </si>
  <si>
    <t>0707785084</t>
  </si>
  <si>
    <t>0726429817</t>
  </si>
  <si>
    <t>0700096597</t>
  </si>
  <si>
    <t>0794975749</t>
  </si>
  <si>
    <t>0711268478</t>
  </si>
  <si>
    <t>0799943788</t>
  </si>
  <si>
    <t>0713052292</t>
  </si>
  <si>
    <t>0700840337</t>
  </si>
  <si>
    <t>0796710066</t>
  </si>
  <si>
    <t>0726226250</t>
  </si>
  <si>
    <t>0717917253</t>
  </si>
  <si>
    <t>0710584777</t>
  </si>
  <si>
    <t>0716122477</t>
  </si>
  <si>
    <t>0721269256</t>
  </si>
  <si>
    <t>0716044537</t>
  </si>
  <si>
    <t>0705918090</t>
  </si>
  <si>
    <t>0724710514</t>
  </si>
  <si>
    <t>0111672831</t>
  </si>
  <si>
    <t>0720218482</t>
  </si>
  <si>
    <t>0702747323</t>
  </si>
  <si>
    <t>0792728071</t>
  </si>
  <si>
    <t>0725366700</t>
  </si>
  <si>
    <t>0714795843</t>
  </si>
  <si>
    <t>0725874778</t>
  </si>
  <si>
    <t>0719762558</t>
  </si>
  <si>
    <t>0769837316</t>
  </si>
  <si>
    <t>0759840072</t>
  </si>
  <si>
    <t>0719549441</t>
  </si>
  <si>
    <t>0748883914</t>
  </si>
  <si>
    <t>0115496787</t>
  </si>
  <si>
    <t>0758428062</t>
  </si>
  <si>
    <t>0768076120</t>
  </si>
  <si>
    <t>0792144390</t>
  </si>
  <si>
    <t>0114720292</t>
  </si>
  <si>
    <t>0716550220</t>
  </si>
  <si>
    <t>0717189255</t>
  </si>
  <si>
    <t>0721762071</t>
  </si>
  <si>
    <t>0759235858</t>
  </si>
  <si>
    <t>0745540298</t>
  </si>
  <si>
    <t>0798973218</t>
  </si>
  <si>
    <t>0720715165</t>
  </si>
  <si>
    <t>0706470255</t>
  </si>
  <si>
    <t>0711996058</t>
  </si>
  <si>
    <t>0714308607</t>
  </si>
  <si>
    <t>0715223291</t>
  </si>
  <si>
    <t>0716021403</t>
  </si>
  <si>
    <t>0717402412</t>
  </si>
  <si>
    <t>0716090980</t>
  </si>
  <si>
    <t>0706139841</t>
  </si>
  <si>
    <t>JENGA</t>
  </si>
  <si>
    <t>DUMISHA</t>
  </si>
  <si>
    <t>JIINUE</t>
  </si>
  <si>
    <t>Group Loans (Weekly)</t>
  </si>
  <si>
    <t>Inua plus</t>
  </si>
  <si>
    <t>Okoa</t>
  </si>
  <si>
    <t>Bullet Payment Loan</t>
  </si>
  <si>
    <t>Insurance Premium Financing</t>
  </si>
  <si>
    <t>Jijenge Loan</t>
  </si>
  <si>
    <t>Flex Lending</t>
  </si>
  <si>
    <t>Group Loans</t>
  </si>
  <si>
    <t>STAWISHA BIZ</t>
  </si>
  <si>
    <t>ENDELEZA BIZ</t>
  </si>
  <si>
    <t>BORESHA</t>
  </si>
  <si>
    <t>IMARISHA</t>
  </si>
  <si>
    <t>Inua Extra</t>
  </si>
  <si>
    <t>Group Loans (Monthly)</t>
  </si>
  <si>
    <t>WEKEZA BIZ</t>
  </si>
  <si>
    <t>2026.06.18 Bomet Arrears report.xlsx</t>
  </si>
  <si>
    <t>2026.06.18 Embu Arrears report.xlsx</t>
  </si>
  <si>
    <t>2026.06.18 HQ Arrears report.xlsx</t>
  </si>
  <si>
    <t>2026.06.18 Isiolo Arrears report.xlsx</t>
  </si>
  <si>
    <t>2026.06.18 Kapsabet  Arrears report.xlsx</t>
  </si>
  <si>
    <t>2026.06.18 Kilifi Arrears report.xlsx</t>
  </si>
  <si>
    <t>2026.06.18 Litein Arrears report.xlsx</t>
  </si>
  <si>
    <t>2026.06.18 Matuu Arrears report.xlsx</t>
  </si>
  <si>
    <t>2026.06.18 Maua Arrears report.xlsx</t>
  </si>
  <si>
    <t>2026.06.18 Meru Arrears report.xlsx</t>
  </si>
  <si>
    <t>2026.06.18 Nairobi Arrears report.xlsx</t>
  </si>
  <si>
    <t>2026.06.18 Nandi Arrears report.xlsx</t>
  </si>
  <si>
    <t>2026.06.18 Ndanai Arrears report.xlsx</t>
  </si>
  <si>
    <t>2026.06.18 Serem Arrears report.xlsx</t>
  </si>
  <si>
    <t>2026.06.18 Tharaka Arrears report.xlsx</t>
  </si>
  <si>
    <t>sms data</t>
  </si>
  <si>
    <t>SMS DATA</t>
  </si>
  <si>
    <t>SMS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</si>
</sst>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43" fontId="0" fillId="0" borderId="0" xfId="1" applyFont="1"/>
    <xf numFmtId="43" fontId="1" fillId="0" borderId="0" xfId="1" applyFont="1"/>
    <xf numFmtId="0" fontId="4" fillId="0" borderId="0" xfId="0" applyFont="1"/>
    <xf numFmtId="0" fontId="3" fillId="0" borderId="0" xfId="0" applyFont="1"/>
    <xf numFmtId="43" fontId="4" fillId="0" borderId="0" xfId="1" applyFont="1"/>
    <xf numFmtId="43" fontId="3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34E5-214E-4A54-B21F-1887F7B9BB13}">
  <dimension ref="A1:R22"/>
  <sheetViews>
    <sheetView tabSelected="1" workbookViewId="0">
      <pane ySplit="1" topLeftCell="A2" activePane="bottomLeft" state="frozen"/>
      <selection pane="bottomLeft" activeCell="Q2" sqref="Q2"/>
    </sheetView>
  </sheetViews>
  <sheetFormatPr defaultRowHeight="15" x14ac:dyDescent="0.25"/>
  <cols>
    <col min="1" max="1" width="8" bestFit="1" customWidth="1"/>
    <col min="2" max="2" width="26.7109375" customWidth="1"/>
    <col min="3" max="3" width="11" bestFit="1" customWidth="1"/>
    <col min="4" max="4" width="7.28515625" customWidth="1"/>
    <col min="5" max="5" width="3" bestFit="1" customWidth="1"/>
    <col min="6" max="6" width="10" bestFit="1" customWidth="1"/>
    <col min="7" max="7" width="11" bestFit="1" customWidth="1"/>
    <col min="8" max="8" width="17.5703125" customWidth="1"/>
    <col min="9" max="9" width="18.28515625" bestFit="1" customWidth="1"/>
    <col min="10" max="10" width="15.85546875" style="5" customWidth="1"/>
    <col min="11" max="11" width="11.140625" style="5" bestFit="1" customWidth="1"/>
    <col min="12" max="13" width="12.5703125" style="5" bestFit="1" customWidth="1"/>
    <col min="14" max="16" width="11.140625" style="5" bestFit="1" customWidth="1"/>
    <col min="17" max="17" width="11" customWidth="1"/>
    <col min="18" max="18" width="34.8554687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2" t="s">
        <v>1332</v>
      </c>
      <c r="R1" s="2" t="s">
        <v>16</v>
      </c>
    </row>
    <row r="2" spans="1:18" x14ac:dyDescent="0.25">
      <c r="A2" t="s">
        <v>294</v>
      </c>
      <c r="B2" t="s">
        <v>721</v>
      </c>
      <c r="C2" t="s">
        <v>1148</v>
      </c>
      <c r="D2" t="s">
        <v>1307</v>
      </c>
      <c r="E2">
        <v>21</v>
      </c>
      <c r="F2">
        <v>5656.86</v>
      </c>
      <c r="G2">
        <v>46999.86</v>
      </c>
      <c r="H2" s="1">
        <v>46170</v>
      </c>
      <c r="I2" s="1">
        <v>44862</v>
      </c>
      <c r="J2" s="5">
        <v>434981</v>
      </c>
      <c r="K2" s="5">
        <v>0</v>
      </c>
      <c r="L2" s="5">
        <v>434981</v>
      </c>
      <c r="M2" s="5">
        <v>46999.86</v>
      </c>
      <c r="N2" s="5">
        <v>0</v>
      </c>
      <c r="O2" s="5">
        <v>9666</v>
      </c>
      <c r="P2" s="5">
        <v>5656.86</v>
      </c>
      <c r="Q2" s="5">
        <f t="shared" ref="Q2:Q9" si="0">P2+K2</f>
        <v>5656.86</v>
      </c>
      <c r="R2" t="s">
        <v>1327</v>
      </c>
    </row>
    <row r="3" spans="1:18" x14ac:dyDescent="0.25">
      <c r="A3" t="s">
        <v>295</v>
      </c>
      <c r="B3" t="s">
        <v>722</v>
      </c>
      <c r="C3" t="s">
        <v>1149</v>
      </c>
      <c r="D3" t="s">
        <v>1307</v>
      </c>
      <c r="E3">
        <v>23</v>
      </c>
      <c r="F3">
        <v>9505.57</v>
      </c>
      <c r="G3">
        <v>14677.78</v>
      </c>
      <c r="H3" s="1">
        <v>46168</v>
      </c>
      <c r="I3" s="1">
        <v>45803</v>
      </c>
      <c r="J3" s="5">
        <v>85000</v>
      </c>
      <c r="K3" s="5">
        <v>1172.21</v>
      </c>
      <c r="L3" s="5">
        <v>86172.21</v>
      </c>
      <c r="M3" s="5">
        <v>13505.57</v>
      </c>
      <c r="N3" s="5">
        <v>1172.21</v>
      </c>
      <c r="O3" s="5">
        <v>10139</v>
      </c>
      <c r="P3" s="5">
        <v>9505.57</v>
      </c>
      <c r="Q3" s="5">
        <f t="shared" si="0"/>
        <v>10677.779999999999</v>
      </c>
      <c r="R3" t="s">
        <v>1327</v>
      </c>
    </row>
    <row r="4" spans="1:18" x14ac:dyDescent="0.25">
      <c r="A4" t="s">
        <v>304</v>
      </c>
      <c r="B4" t="s">
        <v>731</v>
      </c>
      <c r="C4" t="s">
        <v>1158</v>
      </c>
      <c r="D4" t="s">
        <v>1307</v>
      </c>
      <c r="E4">
        <v>28</v>
      </c>
      <c r="F4">
        <v>216986.74</v>
      </c>
      <c r="G4">
        <v>220482.31</v>
      </c>
      <c r="H4" s="1">
        <v>46163</v>
      </c>
      <c r="I4" s="1">
        <v>46133</v>
      </c>
      <c r="J4" s="5">
        <v>217000</v>
      </c>
      <c r="K4" s="5">
        <v>3495.57</v>
      </c>
      <c r="L4" s="5">
        <v>220495.57</v>
      </c>
      <c r="M4" s="5">
        <v>216986.74</v>
      </c>
      <c r="N4" s="5">
        <v>3495.57</v>
      </c>
      <c r="O4" s="5">
        <v>224595</v>
      </c>
      <c r="P4" s="5">
        <v>216986.74</v>
      </c>
      <c r="Q4" s="5">
        <f t="shared" si="0"/>
        <v>220482.31</v>
      </c>
      <c r="R4" t="s">
        <v>1327</v>
      </c>
    </row>
    <row r="5" spans="1:18" x14ac:dyDescent="0.25">
      <c r="A5" t="s">
        <v>311</v>
      </c>
      <c r="B5" t="s">
        <v>738</v>
      </c>
      <c r="C5" t="s">
        <v>1165</v>
      </c>
      <c r="D5" t="s">
        <v>1307</v>
      </c>
      <c r="E5">
        <v>13</v>
      </c>
      <c r="F5">
        <v>16401.349999999999</v>
      </c>
      <c r="G5">
        <v>271025.25</v>
      </c>
      <c r="H5" s="1">
        <v>46178</v>
      </c>
      <c r="I5" s="1">
        <v>46058</v>
      </c>
      <c r="J5" s="5">
        <v>333377</v>
      </c>
      <c r="K5" s="5">
        <v>3517.9</v>
      </c>
      <c r="L5" s="5">
        <v>336894.9</v>
      </c>
      <c r="M5" s="5">
        <v>267507.34999999998</v>
      </c>
      <c r="N5" s="5">
        <v>3517.9</v>
      </c>
      <c r="O5" s="5">
        <v>37613</v>
      </c>
      <c r="P5" s="5">
        <v>16401.349999999999</v>
      </c>
      <c r="Q5" s="5">
        <f t="shared" si="0"/>
        <v>19919.25</v>
      </c>
      <c r="R5" t="s">
        <v>1327</v>
      </c>
    </row>
    <row r="6" spans="1:18" x14ac:dyDescent="0.25">
      <c r="A6" t="s">
        <v>68</v>
      </c>
      <c r="B6" t="s">
        <v>496</v>
      </c>
      <c r="C6" t="s">
        <v>923</v>
      </c>
      <c r="D6" t="s">
        <v>1307</v>
      </c>
      <c r="E6">
        <v>21</v>
      </c>
      <c r="F6">
        <v>196000</v>
      </c>
      <c r="G6">
        <v>204119.13</v>
      </c>
      <c r="H6" s="1">
        <v>46170</v>
      </c>
      <c r="I6" s="1">
        <v>46140</v>
      </c>
      <c r="J6" s="5">
        <v>196000</v>
      </c>
      <c r="K6" s="5">
        <v>8119.13</v>
      </c>
      <c r="L6" s="5">
        <v>204119.13</v>
      </c>
      <c r="M6" s="5">
        <v>196000</v>
      </c>
      <c r="N6" s="5">
        <v>8119.13</v>
      </c>
      <c r="O6" s="5">
        <v>207760</v>
      </c>
      <c r="P6" s="5">
        <v>196000</v>
      </c>
      <c r="Q6" s="5">
        <f t="shared" si="0"/>
        <v>204119.13</v>
      </c>
      <c r="R6" t="s">
        <v>1319</v>
      </c>
    </row>
    <row r="7" spans="1:18" x14ac:dyDescent="0.25">
      <c r="A7" t="s">
        <v>287</v>
      </c>
      <c r="B7" t="s">
        <v>714</v>
      </c>
      <c r="C7" t="s">
        <v>1141</v>
      </c>
      <c r="D7" t="s">
        <v>1304</v>
      </c>
      <c r="E7">
        <v>5</v>
      </c>
      <c r="F7">
        <v>4083.77</v>
      </c>
      <c r="G7">
        <v>370421.04</v>
      </c>
      <c r="H7" s="1">
        <v>46186</v>
      </c>
      <c r="I7" s="1">
        <v>45821</v>
      </c>
      <c r="J7" s="5">
        <v>396000</v>
      </c>
      <c r="K7" s="5">
        <v>64102.27</v>
      </c>
      <c r="L7" s="5">
        <v>460102.27</v>
      </c>
      <c r="M7" s="5">
        <v>306318.77</v>
      </c>
      <c r="N7" s="5">
        <v>64102.27</v>
      </c>
      <c r="O7" s="5">
        <v>34527</v>
      </c>
      <c r="P7" s="5">
        <v>4083.77</v>
      </c>
      <c r="Q7" s="5">
        <f t="shared" si="0"/>
        <v>68186.039999999994</v>
      </c>
      <c r="R7" t="s">
        <v>1327</v>
      </c>
    </row>
    <row r="8" spans="1:18" x14ac:dyDescent="0.25">
      <c r="A8" t="s">
        <v>288</v>
      </c>
      <c r="B8" t="s">
        <v>715</v>
      </c>
      <c r="C8" t="s">
        <v>1142</v>
      </c>
      <c r="D8" t="s">
        <v>1304</v>
      </c>
      <c r="E8">
        <v>3</v>
      </c>
      <c r="F8">
        <v>24473.03</v>
      </c>
      <c r="G8">
        <v>517257.44</v>
      </c>
      <c r="H8" s="1">
        <v>46188</v>
      </c>
      <c r="I8" s="1">
        <v>46037</v>
      </c>
      <c r="J8" s="5">
        <v>600000</v>
      </c>
      <c r="K8" s="5">
        <v>2223.41</v>
      </c>
      <c r="L8" s="5">
        <v>602223.41</v>
      </c>
      <c r="M8" s="5">
        <v>515034.03</v>
      </c>
      <c r="N8" s="5">
        <v>2223.41</v>
      </c>
      <c r="O8" s="5">
        <v>55414</v>
      </c>
      <c r="P8" s="5">
        <v>24473.03</v>
      </c>
      <c r="Q8" s="5">
        <f t="shared" si="0"/>
        <v>26696.44</v>
      </c>
      <c r="R8" t="s">
        <v>1327</v>
      </c>
    </row>
    <row r="9" spans="1:18" x14ac:dyDescent="0.25">
      <c r="A9" t="s">
        <v>289</v>
      </c>
      <c r="B9" t="s">
        <v>716</v>
      </c>
      <c r="C9" t="s">
        <v>1143</v>
      </c>
      <c r="D9" t="s">
        <v>1304</v>
      </c>
      <c r="E9">
        <v>6</v>
      </c>
      <c r="F9">
        <v>17361.330000000002</v>
      </c>
      <c r="G9">
        <v>438432.45</v>
      </c>
      <c r="H9" s="1">
        <v>46185</v>
      </c>
      <c r="I9" s="1">
        <v>46093</v>
      </c>
      <c r="J9" s="5">
        <v>451000</v>
      </c>
      <c r="K9" s="5">
        <v>22754.12</v>
      </c>
      <c r="L9" s="5">
        <v>473754.12</v>
      </c>
      <c r="M9" s="5">
        <v>415678.33</v>
      </c>
      <c r="N9" s="5">
        <v>22754.12</v>
      </c>
      <c r="O9" s="5">
        <v>37089</v>
      </c>
      <c r="P9" s="5">
        <v>17361.330000000002</v>
      </c>
      <c r="Q9" s="5">
        <f t="shared" si="0"/>
        <v>40115.449999999997</v>
      </c>
      <c r="R9" t="s">
        <v>1327</v>
      </c>
    </row>
    <row r="10" spans="1:18" x14ac:dyDescent="0.25">
      <c r="A10" t="s">
        <v>290</v>
      </c>
      <c r="B10" t="s">
        <v>717</v>
      </c>
      <c r="C10" t="s">
        <v>1144</v>
      </c>
      <c r="D10" t="s">
        <v>1304</v>
      </c>
      <c r="E10">
        <v>19</v>
      </c>
      <c r="F10">
        <v>32336</v>
      </c>
      <c r="G10">
        <v>1456708.5</v>
      </c>
      <c r="H10" s="1">
        <v>46172</v>
      </c>
      <c r="I10" s="1">
        <v>46142</v>
      </c>
      <c r="J10" s="5">
        <v>1439000</v>
      </c>
      <c r="K10" s="5">
        <v>17708.5</v>
      </c>
      <c r="L10" s="5">
        <v>1456708.5</v>
      </c>
      <c r="M10" s="5">
        <v>1439000</v>
      </c>
      <c r="N10" s="5">
        <v>17708.5</v>
      </c>
      <c r="O10" s="5">
        <v>104286</v>
      </c>
      <c r="P10" s="5">
        <v>32336</v>
      </c>
      <c r="Q10" s="5">
        <f>ROUND(P10+N10,0)</f>
        <v>50045</v>
      </c>
      <c r="R10" t="s">
        <v>1327</v>
      </c>
    </row>
    <row r="11" spans="1:18" x14ac:dyDescent="0.25">
      <c r="A11" t="s">
        <v>291</v>
      </c>
      <c r="B11" t="s">
        <v>718</v>
      </c>
      <c r="C11" t="s">
        <v>1145</v>
      </c>
      <c r="D11" t="s">
        <v>1304</v>
      </c>
      <c r="E11">
        <v>7</v>
      </c>
      <c r="F11">
        <v>8464</v>
      </c>
      <c r="G11">
        <v>400225.54</v>
      </c>
      <c r="H11" s="1">
        <v>46184</v>
      </c>
      <c r="I11" s="1">
        <v>46153</v>
      </c>
      <c r="J11" s="5">
        <v>376695</v>
      </c>
      <c r="K11" s="5">
        <v>23530.54</v>
      </c>
      <c r="L11" s="5">
        <v>400225.54</v>
      </c>
      <c r="M11" s="5">
        <v>376695</v>
      </c>
      <c r="N11" s="5">
        <v>23530.54</v>
      </c>
      <c r="O11" s="5">
        <v>27299</v>
      </c>
      <c r="P11" s="5">
        <v>8464</v>
      </c>
      <c r="Q11" s="5">
        <f t="shared" ref="Q11:Q22" si="1">ROUND(P11+N11,0)</f>
        <v>31995</v>
      </c>
      <c r="R11" t="s">
        <v>1327</v>
      </c>
    </row>
    <row r="12" spans="1:18" x14ac:dyDescent="0.25">
      <c r="A12" t="s">
        <v>292</v>
      </c>
      <c r="B12" t="s">
        <v>719</v>
      </c>
      <c r="C12" t="s">
        <v>1146</v>
      </c>
      <c r="D12" t="s">
        <v>1304</v>
      </c>
      <c r="E12">
        <v>6</v>
      </c>
      <c r="F12">
        <v>7517</v>
      </c>
      <c r="G12">
        <v>411880.77</v>
      </c>
      <c r="H12" s="1">
        <v>46185</v>
      </c>
      <c r="I12" s="1">
        <v>46154</v>
      </c>
      <c r="J12" s="5">
        <v>382000</v>
      </c>
      <c r="K12" s="5">
        <v>27880.77</v>
      </c>
      <c r="L12" s="5">
        <v>409880.77</v>
      </c>
      <c r="M12" s="5">
        <v>384000</v>
      </c>
      <c r="N12" s="5">
        <v>27880.77</v>
      </c>
      <c r="O12" s="5">
        <v>30437</v>
      </c>
      <c r="P12" s="5">
        <v>7517</v>
      </c>
      <c r="Q12" s="5">
        <f t="shared" si="1"/>
        <v>35398</v>
      </c>
      <c r="R12" t="s">
        <v>1327</v>
      </c>
    </row>
    <row r="13" spans="1:18" x14ac:dyDescent="0.25">
      <c r="A13" t="s">
        <v>299</v>
      </c>
      <c r="B13" t="s">
        <v>726</v>
      </c>
      <c r="C13" t="s">
        <v>1153</v>
      </c>
      <c r="D13" t="s">
        <v>1304</v>
      </c>
      <c r="E13">
        <v>1</v>
      </c>
      <c r="F13">
        <v>12000.54</v>
      </c>
      <c r="G13">
        <v>584068.61</v>
      </c>
      <c r="H13" s="1">
        <v>46190</v>
      </c>
      <c r="I13" s="1">
        <v>46129</v>
      </c>
      <c r="J13" s="5">
        <v>592657</v>
      </c>
      <c r="K13" s="5">
        <v>3436.07</v>
      </c>
      <c r="L13" s="5">
        <v>596093.06999999995</v>
      </c>
      <c r="M13" s="5">
        <v>580632.54</v>
      </c>
      <c r="N13" s="5">
        <v>3436.07</v>
      </c>
      <c r="O13" s="5">
        <v>47222</v>
      </c>
      <c r="P13" s="5">
        <v>12000.54</v>
      </c>
      <c r="Q13" s="5">
        <f t="shared" si="1"/>
        <v>15437</v>
      </c>
      <c r="R13" t="s">
        <v>1327</v>
      </c>
    </row>
    <row r="14" spans="1:18" x14ac:dyDescent="0.25">
      <c r="A14" t="s">
        <v>301</v>
      </c>
      <c r="B14" t="s">
        <v>728</v>
      </c>
      <c r="C14" t="s">
        <v>1155</v>
      </c>
      <c r="D14" t="s">
        <v>1304</v>
      </c>
      <c r="E14">
        <v>30</v>
      </c>
      <c r="F14">
        <v>394.25</v>
      </c>
      <c r="G14">
        <v>197630.43</v>
      </c>
      <c r="H14" s="1">
        <v>46161</v>
      </c>
      <c r="I14" s="1">
        <v>45707</v>
      </c>
      <c r="J14" s="5">
        <v>351869</v>
      </c>
      <c r="K14" s="5">
        <v>1547.18</v>
      </c>
      <c r="L14" s="5">
        <v>353416.18</v>
      </c>
      <c r="M14" s="5">
        <v>196083.25</v>
      </c>
      <c r="N14" s="5">
        <v>1547.18</v>
      </c>
      <c r="O14" s="5">
        <v>28037</v>
      </c>
      <c r="P14" s="5">
        <v>394.25</v>
      </c>
      <c r="Q14" s="5">
        <f t="shared" si="1"/>
        <v>1941</v>
      </c>
      <c r="R14" t="s">
        <v>1327</v>
      </c>
    </row>
    <row r="15" spans="1:18" x14ac:dyDescent="0.25">
      <c r="A15" t="s">
        <v>303</v>
      </c>
      <c r="B15" t="s">
        <v>730</v>
      </c>
      <c r="C15" t="s">
        <v>1157</v>
      </c>
      <c r="D15" t="s">
        <v>1304</v>
      </c>
      <c r="E15">
        <v>4</v>
      </c>
      <c r="F15">
        <v>13739.2</v>
      </c>
      <c r="G15">
        <v>182690.47</v>
      </c>
      <c r="H15" s="1">
        <v>46187</v>
      </c>
      <c r="I15" s="1">
        <v>46036</v>
      </c>
      <c r="J15" s="5">
        <v>250000</v>
      </c>
      <c r="K15" s="5">
        <v>2488.27</v>
      </c>
      <c r="L15" s="5">
        <v>252488.27</v>
      </c>
      <c r="M15" s="5">
        <v>180202.2</v>
      </c>
      <c r="N15" s="5">
        <v>2488.27</v>
      </c>
      <c r="O15" s="5">
        <v>29819</v>
      </c>
      <c r="P15" s="5">
        <v>13739.2</v>
      </c>
      <c r="Q15" s="5">
        <f t="shared" si="1"/>
        <v>16227</v>
      </c>
      <c r="R15" t="s">
        <v>1327</v>
      </c>
    </row>
    <row r="16" spans="1:18" x14ac:dyDescent="0.25">
      <c r="A16" t="s">
        <v>305</v>
      </c>
      <c r="B16" t="s">
        <v>732</v>
      </c>
      <c r="C16" t="s">
        <v>1159</v>
      </c>
      <c r="D16" t="s">
        <v>1304</v>
      </c>
      <c r="E16">
        <v>6</v>
      </c>
      <c r="F16">
        <v>48544</v>
      </c>
      <c r="G16">
        <v>107298.63</v>
      </c>
      <c r="H16" s="1">
        <v>46185</v>
      </c>
      <c r="I16" s="1">
        <v>46154</v>
      </c>
      <c r="J16" s="5">
        <v>100000</v>
      </c>
      <c r="K16" s="5">
        <v>7298.63</v>
      </c>
      <c r="L16" s="5">
        <v>107298.63</v>
      </c>
      <c r="M16" s="5">
        <v>100000</v>
      </c>
      <c r="N16" s="5">
        <v>7298.63</v>
      </c>
      <c r="O16" s="5">
        <v>54544</v>
      </c>
      <c r="P16" s="5">
        <v>48544</v>
      </c>
      <c r="Q16" s="5">
        <f t="shared" si="1"/>
        <v>55843</v>
      </c>
      <c r="R16" t="s">
        <v>1327</v>
      </c>
    </row>
    <row r="17" spans="1:18" x14ac:dyDescent="0.25">
      <c r="A17" t="s">
        <v>310</v>
      </c>
      <c r="B17" t="s">
        <v>737</v>
      </c>
      <c r="C17" t="s">
        <v>1164</v>
      </c>
      <c r="D17" t="s">
        <v>1304</v>
      </c>
      <c r="E17">
        <v>4</v>
      </c>
      <c r="F17">
        <v>14825.91</v>
      </c>
      <c r="G17">
        <v>15235.35</v>
      </c>
      <c r="H17" s="1">
        <v>46187</v>
      </c>
      <c r="I17" s="1">
        <v>46036</v>
      </c>
      <c r="J17" s="5">
        <v>66415</v>
      </c>
      <c r="K17" s="5">
        <v>409.44</v>
      </c>
      <c r="L17" s="5">
        <v>66824.44</v>
      </c>
      <c r="M17" s="5">
        <v>14825.91</v>
      </c>
      <c r="N17" s="5">
        <v>409.44</v>
      </c>
      <c r="O17" s="5">
        <v>15767</v>
      </c>
      <c r="P17" s="5">
        <v>14825.91</v>
      </c>
      <c r="Q17" s="5">
        <f t="shared" si="1"/>
        <v>15235</v>
      </c>
      <c r="R17" t="s">
        <v>1327</v>
      </c>
    </row>
    <row r="18" spans="1:18" x14ac:dyDescent="0.25">
      <c r="A18" t="s">
        <v>312</v>
      </c>
      <c r="B18" t="s">
        <v>739</v>
      </c>
      <c r="C18" t="s">
        <v>1166</v>
      </c>
      <c r="D18" t="s">
        <v>1304</v>
      </c>
      <c r="E18">
        <v>6</v>
      </c>
      <c r="F18">
        <v>14203.39</v>
      </c>
      <c r="G18">
        <v>375495.38</v>
      </c>
      <c r="H18" s="1">
        <v>46185</v>
      </c>
      <c r="I18" s="1">
        <v>46065</v>
      </c>
      <c r="J18" s="5">
        <v>392663</v>
      </c>
      <c r="K18" s="5">
        <v>16209.99</v>
      </c>
      <c r="L18" s="5">
        <v>408872.99</v>
      </c>
      <c r="M18" s="5">
        <v>359285.39</v>
      </c>
      <c r="N18" s="5">
        <v>16209.99</v>
      </c>
      <c r="O18" s="5">
        <v>36265</v>
      </c>
      <c r="P18" s="5">
        <v>14203.39</v>
      </c>
      <c r="Q18" s="5">
        <f t="shared" si="1"/>
        <v>30413</v>
      </c>
      <c r="R18" t="s">
        <v>1327</v>
      </c>
    </row>
    <row r="19" spans="1:18" x14ac:dyDescent="0.25">
      <c r="A19" t="s">
        <v>313</v>
      </c>
      <c r="B19" t="s">
        <v>740</v>
      </c>
      <c r="C19" t="s">
        <v>1167</v>
      </c>
      <c r="D19" t="s">
        <v>1304</v>
      </c>
      <c r="E19">
        <v>3</v>
      </c>
      <c r="F19">
        <v>16544.509999999998</v>
      </c>
      <c r="G19">
        <v>38713.89</v>
      </c>
      <c r="H19" s="1">
        <v>46188</v>
      </c>
      <c r="I19" s="1">
        <v>46127</v>
      </c>
      <c r="J19" s="5">
        <v>50000</v>
      </c>
      <c r="K19" s="5">
        <v>3892.38</v>
      </c>
      <c r="L19" s="5">
        <v>53892.38</v>
      </c>
      <c r="M19" s="5">
        <v>34821.51</v>
      </c>
      <c r="N19" s="5">
        <v>3892.38</v>
      </c>
      <c r="O19" s="5">
        <v>20106</v>
      </c>
      <c r="P19" s="5">
        <v>16544.509999999998</v>
      </c>
      <c r="Q19" s="5">
        <f t="shared" si="1"/>
        <v>20437</v>
      </c>
      <c r="R19" t="s">
        <v>1327</v>
      </c>
    </row>
    <row r="20" spans="1:18" x14ac:dyDescent="0.25">
      <c r="A20" t="s">
        <v>314</v>
      </c>
      <c r="B20" t="s">
        <v>741</v>
      </c>
      <c r="C20" t="s">
        <v>1168</v>
      </c>
      <c r="D20" t="s">
        <v>1304</v>
      </c>
      <c r="E20">
        <v>4</v>
      </c>
      <c r="F20">
        <v>5904</v>
      </c>
      <c r="G20">
        <v>320712.33</v>
      </c>
      <c r="H20" s="1">
        <v>46187</v>
      </c>
      <c r="I20" s="1">
        <v>46156</v>
      </c>
      <c r="J20" s="5">
        <v>300000</v>
      </c>
      <c r="K20" s="5">
        <v>20712.330000000002</v>
      </c>
      <c r="L20" s="5">
        <v>320712.33</v>
      </c>
      <c r="M20" s="5">
        <v>300000</v>
      </c>
      <c r="N20" s="5">
        <v>20712.330000000002</v>
      </c>
      <c r="O20" s="5">
        <v>23904</v>
      </c>
      <c r="P20" s="5">
        <v>5904</v>
      </c>
      <c r="Q20" s="5">
        <f t="shared" si="1"/>
        <v>26616</v>
      </c>
      <c r="R20" t="s">
        <v>1327</v>
      </c>
    </row>
    <row r="21" spans="1:18" x14ac:dyDescent="0.25">
      <c r="A21" t="s">
        <v>61</v>
      </c>
      <c r="B21" t="s">
        <v>489</v>
      </c>
      <c r="C21" t="s">
        <v>916</v>
      </c>
      <c r="D21" t="s">
        <v>1304</v>
      </c>
      <c r="E21">
        <v>21</v>
      </c>
      <c r="F21">
        <v>8561.61</v>
      </c>
      <c r="G21">
        <v>1455891.53</v>
      </c>
      <c r="H21" s="1">
        <v>46170</v>
      </c>
      <c r="I21" s="1">
        <v>46050</v>
      </c>
      <c r="J21" s="5">
        <v>1400000</v>
      </c>
      <c r="K21" s="5">
        <v>167854.92</v>
      </c>
      <c r="L21" s="5">
        <v>1567854.92</v>
      </c>
      <c r="M21" s="5">
        <v>1288036.6100000001</v>
      </c>
      <c r="N21" s="5">
        <v>167854.92</v>
      </c>
      <c r="O21" s="5">
        <v>111551</v>
      </c>
      <c r="P21" s="5">
        <v>8561.61</v>
      </c>
      <c r="Q21" s="5">
        <f t="shared" si="1"/>
        <v>176417</v>
      </c>
      <c r="R21" t="s">
        <v>1319</v>
      </c>
    </row>
    <row r="22" spans="1:18" x14ac:dyDescent="0.25">
      <c r="A22" t="s">
        <v>64</v>
      </c>
      <c r="B22" t="s">
        <v>492</v>
      </c>
      <c r="C22" t="s">
        <v>919</v>
      </c>
      <c r="D22" t="s">
        <v>1304</v>
      </c>
      <c r="E22">
        <v>14</v>
      </c>
      <c r="F22">
        <v>8.34</v>
      </c>
      <c r="G22">
        <v>285435.74</v>
      </c>
      <c r="H22" s="1">
        <v>46177</v>
      </c>
      <c r="I22" s="1">
        <v>46116</v>
      </c>
      <c r="J22" s="5">
        <v>298986</v>
      </c>
      <c r="K22" s="5">
        <v>12902.4</v>
      </c>
      <c r="L22" s="5">
        <v>311888.40000000002</v>
      </c>
      <c r="M22" s="5">
        <v>272533.34000000003</v>
      </c>
      <c r="N22" s="5">
        <v>12902.4</v>
      </c>
      <c r="O22" s="5">
        <v>30784</v>
      </c>
      <c r="P22" s="5">
        <v>8.34</v>
      </c>
      <c r="Q22" s="5">
        <f t="shared" si="1"/>
        <v>12911</v>
      </c>
      <c r="R22" t="s">
        <v>1319</v>
      </c>
    </row>
  </sheetData>
  <autoFilter ref="A1:R22" xr:uid="{4B9634E5-214E-4A54-B21F-1887F7B9BB13}"/>
  <sortState xmlns:xlrd2="http://schemas.microsoft.com/office/spreadsheetml/2017/richdata2" ref="A2:R22">
    <sortCondition ref="D2:D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426E-4477-49BD-852A-34B4EA9E09BC}">
  <dimension ref="A1:R17"/>
  <sheetViews>
    <sheetView topLeftCell="C1" workbookViewId="0">
      <selection activeCell="Q2" sqref="Q2"/>
    </sheetView>
  </sheetViews>
  <sheetFormatPr defaultRowHeight="15" x14ac:dyDescent="0.25"/>
  <cols>
    <col min="1" max="1" width="11.28515625" bestFit="1" customWidth="1"/>
    <col min="2" max="2" width="27.28515625" bestFit="1" customWidth="1"/>
    <col min="3" max="3" width="11" bestFit="1" customWidth="1"/>
    <col min="4" max="4" width="13.28515625" bestFit="1" customWidth="1"/>
    <col min="5" max="5" width="5.140625" bestFit="1" customWidth="1"/>
    <col min="6" max="6" width="11.7109375" bestFit="1" customWidth="1"/>
    <col min="7" max="7" width="12.28515625" bestFit="1" customWidth="1"/>
    <col min="8" max="9" width="18.28515625" bestFit="1" customWidth="1"/>
    <col min="10" max="10" width="8.85546875" bestFit="1" customWidth="1"/>
    <col min="11" max="11" width="8" bestFit="1" customWidth="1"/>
    <col min="12" max="12" width="9.5703125" bestFit="1" customWidth="1"/>
    <col min="13" max="13" width="9" bestFit="1" customWidth="1"/>
    <col min="14" max="14" width="8.42578125" bestFit="1" customWidth="1"/>
    <col min="15" max="15" width="11.140625" bestFit="1" customWidth="1"/>
    <col min="16" max="16" width="8" bestFit="1" customWidth="1"/>
    <col min="17" max="17" width="12.5703125" style="8" bestFit="1" customWidth="1"/>
    <col min="18" max="18" width="34.8554687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7" t="s">
        <v>1334</v>
      </c>
      <c r="R1" s="2" t="s">
        <v>16</v>
      </c>
    </row>
    <row r="2" spans="1:18" x14ac:dyDescent="0.25">
      <c r="A2" t="s">
        <v>293</v>
      </c>
      <c r="B2" t="s">
        <v>720</v>
      </c>
      <c r="C2" t="s">
        <v>1147</v>
      </c>
      <c r="D2" t="s">
        <v>1303</v>
      </c>
      <c r="E2">
        <v>4</v>
      </c>
      <c r="F2">
        <v>474100</v>
      </c>
      <c r="G2">
        <v>474100</v>
      </c>
      <c r="H2" s="1">
        <v>46187</v>
      </c>
      <c r="I2" s="1">
        <v>46156</v>
      </c>
      <c r="J2">
        <v>431000</v>
      </c>
      <c r="K2">
        <v>43100</v>
      </c>
      <c r="L2">
        <v>474100</v>
      </c>
      <c r="M2">
        <v>431000</v>
      </c>
      <c r="N2">
        <v>43100</v>
      </c>
      <c r="O2">
        <v>474100</v>
      </c>
      <c r="P2">
        <v>474100</v>
      </c>
      <c r="Q2" s="10">
        <f>P2</f>
        <v>474100</v>
      </c>
      <c r="R2" t="s">
        <v>1327</v>
      </c>
    </row>
    <row r="3" spans="1:18" x14ac:dyDescent="0.25">
      <c r="A3" t="s">
        <v>296</v>
      </c>
      <c r="B3" t="s">
        <v>723</v>
      </c>
      <c r="C3" t="s">
        <v>1150</v>
      </c>
      <c r="D3" t="s">
        <v>1314</v>
      </c>
      <c r="E3">
        <v>2</v>
      </c>
      <c r="F3">
        <v>24800</v>
      </c>
      <c r="G3">
        <v>24800</v>
      </c>
      <c r="H3" s="1">
        <v>46189</v>
      </c>
      <c r="I3" s="1">
        <v>46007</v>
      </c>
      <c r="J3">
        <v>120000</v>
      </c>
      <c r="K3">
        <v>28800</v>
      </c>
      <c r="L3">
        <v>148800</v>
      </c>
      <c r="M3">
        <v>20000</v>
      </c>
      <c r="N3">
        <v>4800</v>
      </c>
      <c r="O3">
        <v>24800</v>
      </c>
      <c r="P3">
        <v>24800</v>
      </c>
      <c r="Q3" s="10">
        <f t="shared" ref="Q3:Q17" si="0">P3</f>
        <v>24800</v>
      </c>
      <c r="R3" t="s">
        <v>1327</v>
      </c>
    </row>
    <row r="4" spans="1:18" x14ac:dyDescent="0.25">
      <c r="A4" t="s">
        <v>300</v>
      </c>
      <c r="B4" t="s">
        <v>727</v>
      </c>
      <c r="C4" t="s">
        <v>1154</v>
      </c>
      <c r="D4" t="s">
        <v>1303</v>
      </c>
      <c r="E4">
        <v>10</v>
      </c>
      <c r="F4">
        <v>364000</v>
      </c>
      <c r="G4">
        <v>364000</v>
      </c>
      <c r="H4" s="1">
        <v>46181</v>
      </c>
      <c r="I4" s="1">
        <v>46150</v>
      </c>
      <c r="J4">
        <v>350000</v>
      </c>
      <c r="K4">
        <v>14000</v>
      </c>
      <c r="L4">
        <v>364000</v>
      </c>
      <c r="M4">
        <v>350000</v>
      </c>
      <c r="N4">
        <v>14000</v>
      </c>
      <c r="O4">
        <v>364000</v>
      </c>
      <c r="P4">
        <v>364000</v>
      </c>
      <c r="Q4" s="10">
        <f t="shared" si="0"/>
        <v>364000</v>
      </c>
      <c r="R4" t="s">
        <v>1327</v>
      </c>
    </row>
    <row r="5" spans="1:18" x14ac:dyDescent="0.25">
      <c r="A5" t="s">
        <v>302</v>
      </c>
      <c r="B5" t="s">
        <v>729</v>
      </c>
      <c r="C5" t="s">
        <v>1156</v>
      </c>
      <c r="D5" t="s">
        <v>1303</v>
      </c>
      <c r="E5">
        <v>8</v>
      </c>
      <c r="F5">
        <v>30366</v>
      </c>
      <c r="G5">
        <v>219570</v>
      </c>
      <c r="H5" s="1">
        <v>46183</v>
      </c>
      <c r="I5" s="1">
        <v>45818</v>
      </c>
      <c r="J5">
        <v>330000</v>
      </c>
      <c r="K5">
        <v>237600</v>
      </c>
      <c r="L5">
        <v>567600</v>
      </c>
      <c r="M5">
        <v>128337</v>
      </c>
      <c r="N5">
        <v>91233</v>
      </c>
      <c r="O5">
        <v>31533</v>
      </c>
      <c r="P5">
        <v>30366</v>
      </c>
      <c r="Q5" s="10">
        <f t="shared" si="0"/>
        <v>30366</v>
      </c>
      <c r="R5" t="s">
        <v>1327</v>
      </c>
    </row>
    <row r="6" spans="1:18" x14ac:dyDescent="0.25">
      <c r="A6" t="s">
        <v>60</v>
      </c>
      <c r="B6" t="s">
        <v>488</v>
      </c>
      <c r="C6" t="s">
        <v>915</v>
      </c>
      <c r="D6" t="s">
        <v>1303</v>
      </c>
      <c r="E6">
        <v>30</v>
      </c>
      <c r="F6">
        <v>3994</v>
      </c>
      <c r="G6">
        <v>4563978</v>
      </c>
      <c r="H6" s="1">
        <v>46161</v>
      </c>
      <c r="I6" s="1">
        <v>45980</v>
      </c>
      <c r="J6">
        <v>2630750</v>
      </c>
      <c r="K6">
        <v>2841228</v>
      </c>
      <c r="L6">
        <v>5471978</v>
      </c>
      <c r="M6">
        <v>2196288</v>
      </c>
      <c r="N6">
        <v>2367690</v>
      </c>
      <c r="O6">
        <v>151999</v>
      </c>
      <c r="P6">
        <v>3994</v>
      </c>
      <c r="Q6" s="10">
        <f t="shared" si="0"/>
        <v>3994</v>
      </c>
      <c r="R6" t="s">
        <v>1319</v>
      </c>
    </row>
    <row r="7" spans="1:18" x14ac:dyDescent="0.25">
      <c r="A7" t="s">
        <v>63</v>
      </c>
      <c r="B7" t="s">
        <v>491</v>
      </c>
      <c r="C7" t="s">
        <v>918</v>
      </c>
      <c r="D7" t="s">
        <v>1303</v>
      </c>
      <c r="E7">
        <v>25</v>
      </c>
      <c r="F7">
        <v>66666</v>
      </c>
      <c r="G7">
        <v>1500000</v>
      </c>
      <c r="H7" s="1">
        <v>46166</v>
      </c>
      <c r="I7" s="1">
        <v>46105</v>
      </c>
      <c r="J7">
        <v>1000000</v>
      </c>
      <c r="K7">
        <v>720000</v>
      </c>
      <c r="L7">
        <v>1720000</v>
      </c>
      <c r="M7">
        <v>900000</v>
      </c>
      <c r="N7">
        <v>600000</v>
      </c>
      <c r="O7">
        <v>143333</v>
      </c>
      <c r="P7">
        <v>66666</v>
      </c>
      <c r="Q7" s="10">
        <f t="shared" si="0"/>
        <v>66666</v>
      </c>
      <c r="R7" t="s">
        <v>1319</v>
      </c>
    </row>
    <row r="8" spans="1:18" x14ac:dyDescent="0.25">
      <c r="A8" t="s">
        <v>66</v>
      </c>
      <c r="B8" t="s">
        <v>494</v>
      </c>
      <c r="C8" t="s">
        <v>921</v>
      </c>
      <c r="D8" t="s">
        <v>1303</v>
      </c>
      <c r="E8">
        <v>28</v>
      </c>
      <c r="F8">
        <v>794127</v>
      </c>
      <c r="G8">
        <v>2382380</v>
      </c>
      <c r="H8" s="1">
        <v>46163</v>
      </c>
      <c r="I8" s="1">
        <v>46133</v>
      </c>
      <c r="J8">
        <v>2156000</v>
      </c>
      <c r="K8">
        <v>226380</v>
      </c>
      <c r="L8">
        <v>2382380</v>
      </c>
      <c r="M8">
        <v>2156000</v>
      </c>
      <c r="N8">
        <v>226380</v>
      </c>
      <c r="O8">
        <v>794127</v>
      </c>
      <c r="P8">
        <v>794127</v>
      </c>
      <c r="Q8" s="10">
        <f t="shared" si="0"/>
        <v>794127</v>
      </c>
      <c r="R8" t="s">
        <v>1319</v>
      </c>
    </row>
    <row r="9" spans="1:18" x14ac:dyDescent="0.25">
      <c r="A9" t="s">
        <v>67</v>
      </c>
      <c r="B9" t="s">
        <v>495</v>
      </c>
      <c r="C9" t="s">
        <v>922</v>
      </c>
      <c r="D9" t="s">
        <v>1303</v>
      </c>
      <c r="E9">
        <v>25</v>
      </c>
      <c r="F9">
        <v>559520</v>
      </c>
      <c r="G9">
        <v>559520</v>
      </c>
      <c r="H9" s="1">
        <v>46166</v>
      </c>
      <c r="I9" s="1">
        <v>46136</v>
      </c>
      <c r="J9">
        <v>538000</v>
      </c>
      <c r="K9">
        <v>21520</v>
      </c>
      <c r="L9">
        <v>559520</v>
      </c>
      <c r="M9">
        <v>538000</v>
      </c>
      <c r="N9">
        <v>21520</v>
      </c>
      <c r="O9">
        <v>559520</v>
      </c>
      <c r="P9">
        <v>559520</v>
      </c>
      <c r="Q9" s="10">
        <f t="shared" si="0"/>
        <v>559520</v>
      </c>
      <c r="R9" t="s">
        <v>1319</v>
      </c>
    </row>
    <row r="10" spans="1:18" x14ac:dyDescent="0.25">
      <c r="A10" t="s">
        <v>69</v>
      </c>
      <c r="B10" t="s">
        <v>497</v>
      </c>
      <c r="C10" t="s">
        <v>924</v>
      </c>
      <c r="D10" t="s">
        <v>1303</v>
      </c>
      <c r="E10">
        <v>10</v>
      </c>
      <c r="F10">
        <v>1064667</v>
      </c>
      <c r="G10">
        <v>3417580</v>
      </c>
      <c r="H10" s="1">
        <v>46181</v>
      </c>
      <c r="I10" s="1">
        <v>46150</v>
      </c>
      <c r="J10">
        <v>3194000</v>
      </c>
      <c r="K10">
        <v>335370</v>
      </c>
      <c r="L10">
        <v>3529370</v>
      </c>
      <c r="M10">
        <v>3194000</v>
      </c>
      <c r="N10">
        <v>223580</v>
      </c>
      <c r="O10">
        <v>1176457</v>
      </c>
      <c r="P10">
        <v>1064667</v>
      </c>
      <c r="Q10" s="10">
        <f t="shared" si="0"/>
        <v>1064667</v>
      </c>
      <c r="R10" t="s">
        <v>1319</v>
      </c>
    </row>
    <row r="11" spans="1:18" x14ac:dyDescent="0.25">
      <c r="A11" t="s">
        <v>298</v>
      </c>
      <c r="B11" t="s">
        <v>725</v>
      </c>
      <c r="C11" t="s">
        <v>1152</v>
      </c>
      <c r="D11" t="s">
        <v>1315</v>
      </c>
      <c r="E11">
        <v>3</v>
      </c>
      <c r="F11">
        <v>10000</v>
      </c>
      <c r="G11">
        <v>10000</v>
      </c>
      <c r="H11" s="1">
        <v>46188</v>
      </c>
      <c r="I11" s="1">
        <v>46037</v>
      </c>
      <c r="J11">
        <v>50000</v>
      </c>
      <c r="K11">
        <v>25000</v>
      </c>
      <c r="L11">
        <v>75000</v>
      </c>
      <c r="M11">
        <v>10000</v>
      </c>
      <c r="N11">
        <v>0</v>
      </c>
      <c r="O11">
        <v>15000</v>
      </c>
      <c r="P11">
        <v>10000</v>
      </c>
      <c r="Q11" s="10">
        <f t="shared" si="0"/>
        <v>10000</v>
      </c>
      <c r="R11" t="s">
        <v>1327</v>
      </c>
    </row>
    <row r="12" spans="1:18" x14ac:dyDescent="0.25">
      <c r="A12" t="s">
        <v>306</v>
      </c>
      <c r="B12" t="s">
        <v>733</v>
      </c>
      <c r="C12" t="s">
        <v>1160</v>
      </c>
      <c r="D12" t="s">
        <v>1315</v>
      </c>
      <c r="E12">
        <v>8</v>
      </c>
      <c r="F12">
        <v>9997</v>
      </c>
      <c r="G12">
        <v>9997</v>
      </c>
      <c r="H12" s="1">
        <v>46183</v>
      </c>
      <c r="I12" s="1">
        <v>46001</v>
      </c>
      <c r="J12">
        <v>50000</v>
      </c>
      <c r="K12">
        <v>30000</v>
      </c>
      <c r="L12">
        <v>80000</v>
      </c>
      <c r="M12">
        <v>8335</v>
      </c>
      <c r="N12">
        <v>1662</v>
      </c>
      <c r="O12">
        <v>13333</v>
      </c>
      <c r="P12">
        <v>9997</v>
      </c>
      <c r="Q12" s="10">
        <f t="shared" si="0"/>
        <v>9997</v>
      </c>
      <c r="R12" t="s">
        <v>1327</v>
      </c>
    </row>
    <row r="13" spans="1:18" x14ac:dyDescent="0.25">
      <c r="A13" t="s">
        <v>307</v>
      </c>
      <c r="B13" t="s">
        <v>734</v>
      </c>
      <c r="C13" t="s">
        <v>1161</v>
      </c>
      <c r="D13" t="s">
        <v>1315</v>
      </c>
      <c r="E13">
        <v>8</v>
      </c>
      <c r="F13">
        <v>11758</v>
      </c>
      <c r="G13">
        <v>11758</v>
      </c>
      <c r="H13" s="1">
        <v>46183</v>
      </c>
      <c r="I13" s="1">
        <v>46001</v>
      </c>
      <c r="J13">
        <v>50000</v>
      </c>
      <c r="K13">
        <v>30000</v>
      </c>
      <c r="L13">
        <v>80000</v>
      </c>
      <c r="M13">
        <v>8335</v>
      </c>
      <c r="N13">
        <v>3423</v>
      </c>
      <c r="O13">
        <v>13333</v>
      </c>
      <c r="P13">
        <v>11758</v>
      </c>
      <c r="Q13" s="10">
        <f t="shared" si="0"/>
        <v>11758</v>
      </c>
      <c r="R13" t="s">
        <v>1327</v>
      </c>
    </row>
    <row r="14" spans="1:18" x14ac:dyDescent="0.25">
      <c r="A14" t="s">
        <v>308</v>
      </c>
      <c r="B14" t="s">
        <v>735</v>
      </c>
      <c r="C14" t="s">
        <v>1162</v>
      </c>
      <c r="D14" t="s">
        <v>1315</v>
      </c>
      <c r="E14">
        <v>8</v>
      </c>
      <c r="F14">
        <v>9975</v>
      </c>
      <c r="G14">
        <v>9975</v>
      </c>
      <c r="H14" s="1">
        <v>46183</v>
      </c>
      <c r="I14" s="1">
        <v>46001</v>
      </c>
      <c r="J14">
        <v>50000</v>
      </c>
      <c r="K14">
        <v>30000</v>
      </c>
      <c r="L14">
        <v>80000</v>
      </c>
      <c r="M14">
        <v>8335</v>
      </c>
      <c r="N14">
        <v>1640</v>
      </c>
      <c r="O14">
        <v>13333</v>
      </c>
      <c r="P14">
        <v>9975</v>
      </c>
      <c r="Q14" s="10">
        <f t="shared" si="0"/>
        <v>9975</v>
      </c>
      <c r="R14" t="s">
        <v>1327</v>
      </c>
    </row>
    <row r="15" spans="1:18" x14ac:dyDescent="0.25">
      <c r="A15" t="s">
        <v>309</v>
      </c>
      <c r="B15" t="s">
        <v>736</v>
      </c>
      <c r="C15" t="s">
        <v>1163</v>
      </c>
      <c r="D15" t="s">
        <v>1315</v>
      </c>
      <c r="E15">
        <v>8</v>
      </c>
      <c r="F15">
        <v>9994</v>
      </c>
      <c r="G15">
        <v>9994</v>
      </c>
      <c r="H15" s="1">
        <v>46183</v>
      </c>
      <c r="I15" s="1">
        <v>46001</v>
      </c>
      <c r="J15">
        <v>50000</v>
      </c>
      <c r="K15">
        <v>30000</v>
      </c>
      <c r="L15">
        <v>80000</v>
      </c>
      <c r="M15">
        <v>8335</v>
      </c>
      <c r="N15">
        <v>1659</v>
      </c>
      <c r="O15">
        <v>13333</v>
      </c>
      <c r="P15">
        <v>9994</v>
      </c>
      <c r="Q15" s="10">
        <f t="shared" si="0"/>
        <v>9994</v>
      </c>
      <c r="R15" t="s">
        <v>1327</v>
      </c>
    </row>
    <row r="16" spans="1:18" x14ac:dyDescent="0.25">
      <c r="A16" t="s">
        <v>65</v>
      </c>
      <c r="B16" t="s">
        <v>493</v>
      </c>
      <c r="C16" t="s">
        <v>920</v>
      </c>
      <c r="D16" t="s">
        <v>1306</v>
      </c>
      <c r="E16">
        <v>4</v>
      </c>
      <c r="F16">
        <v>54922</v>
      </c>
      <c r="G16">
        <v>329539</v>
      </c>
      <c r="H16" s="1">
        <v>46187</v>
      </c>
      <c r="I16" s="1">
        <v>46126</v>
      </c>
      <c r="J16">
        <v>317739</v>
      </c>
      <c r="K16">
        <v>66724</v>
      </c>
      <c r="L16">
        <v>384463</v>
      </c>
      <c r="M16">
        <v>272348</v>
      </c>
      <c r="N16">
        <v>57191</v>
      </c>
      <c r="O16">
        <v>54923</v>
      </c>
      <c r="P16">
        <v>54922</v>
      </c>
      <c r="Q16" s="10">
        <f t="shared" si="0"/>
        <v>54922</v>
      </c>
      <c r="R16" t="s">
        <v>1319</v>
      </c>
    </row>
    <row r="17" spans="1:18" x14ac:dyDescent="0.25">
      <c r="A17" t="s">
        <v>72</v>
      </c>
      <c r="B17" t="s">
        <v>493</v>
      </c>
      <c r="C17" t="s">
        <v>920</v>
      </c>
      <c r="D17" t="s">
        <v>1306</v>
      </c>
      <c r="E17">
        <v>3</v>
      </c>
      <c r="F17">
        <v>55519</v>
      </c>
      <c r="G17">
        <v>555191</v>
      </c>
      <c r="H17" s="1">
        <v>46188</v>
      </c>
      <c r="I17" s="1">
        <v>46157</v>
      </c>
      <c r="J17">
        <v>427071</v>
      </c>
      <c r="K17">
        <v>128120</v>
      </c>
      <c r="L17">
        <v>555191</v>
      </c>
      <c r="M17">
        <v>427071</v>
      </c>
      <c r="N17">
        <v>128120</v>
      </c>
      <c r="O17">
        <v>55519</v>
      </c>
      <c r="P17">
        <v>55519</v>
      </c>
      <c r="Q17" s="10">
        <f t="shared" si="0"/>
        <v>55519</v>
      </c>
      <c r="R17" t="s">
        <v>1319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35AA-035B-44D7-B3AC-D15D6AC5AC26}">
  <dimension ref="A1:S4"/>
  <sheetViews>
    <sheetView topLeftCell="F1" workbookViewId="0">
      <selection activeCell="Q3" sqref="Q3"/>
    </sheetView>
  </sheetViews>
  <sheetFormatPr defaultRowHeight="15" x14ac:dyDescent="0.25"/>
  <cols>
    <col min="1" max="1" width="9.140625" customWidth="1"/>
    <col min="2" max="2" width="25.85546875" bestFit="1" customWidth="1"/>
    <col min="3" max="3" width="10.85546875" bestFit="1" customWidth="1"/>
    <col min="4" max="4" width="12.42578125" bestFit="1" customWidth="1"/>
    <col min="5" max="5" width="4.85546875" bestFit="1" customWidth="1"/>
    <col min="6" max="6" width="11" bestFit="1" customWidth="1"/>
    <col min="7" max="7" width="11.5703125" bestFit="1" customWidth="1"/>
    <col min="8" max="9" width="17.85546875" bestFit="1" customWidth="1"/>
    <col min="10" max="10" width="12.5703125" bestFit="1" customWidth="1"/>
    <col min="12" max="13" width="12.5703125" bestFit="1" customWidth="1"/>
    <col min="14" max="14" width="9.140625" bestFit="1" customWidth="1"/>
    <col min="15" max="15" width="11.5703125" bestFit="1" customWidth="1"/>
    <col min="16" max="16" width="11.140625" bestFit="1" customWidth="1"/>
    <col min="17" max="17" width="11.140625" style="8" bestFit="1" customWidth="1"/>
    <col min="18" max="18" width="32.85546875" bestFit="1" customWidth="1"/>
    <col min="19" max="19" width="5.140625" bestFit="1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1332</v>
      </c>
      <c r="R1" s="2" t="s">
        <v>16</v>
      </c>
    </row>
    <row r="2" spans="1:19" x14ac:dyDescent="0.25">
      <c r="A2" t="s">
        <v>297</v>
      </c>
      <c r="B2" t="s">
        <v>724</v>
      </c>
      <c r="C2" t="s">
        <v>1151</v>
      </c>
      <c r="D2" t="s">
        <v>1308</v>
      </c>
      <c r="E2">
        <v>30</v>
      </c>
      <c r="F2">
        <v>16035</v>
      </c>
      <c r="G2">
        <v>1905930</v>
      </c>
      <c r="H2" s="1">
        <v>46161</v>
      </c>
      <c r="I2" s="1">
        <v>46010</v>
      </c>
      <c r="J2" s="5">
        <v>2030930</v>
      </c>
      <c r="K2" s="5">
        <v>0</v>
      </c>
      <c r="L2" s="5">
        <v>2030930</v>
      </c>
      <c r="M2" s="5">
        <v>1905930</v>
      </c>
      <c r="N2" s="5">
        <v>0</v>
      </c>
      <c r="O2" s="5">
        <v>28207</v>
      </c>
      <c r="P2" s="5">
        <v>16035</v>
      </c>
      <c r="Q2" s="10">
        <f>O2</f>
        <v>28207</v>
      </c>
      <c r="R2" t="s">
        <v>1327</v>
      </c>
      <c r="S2" t="b">
        <f>K2=N2</f>
        <v>1</v>
      </c>
    </row>
    <row r="3" spans="1:19" x14ac:dyDescent="0.25">
      <c r="A3" t="s">
        <v>70</v>
      </c>
      <c r="B3" t="s">
        <v>498</v>
      </c>
      <c r="C3" t="s">
        <v>925</v>
      </c>
      <c r="D3" t="s">
        <v>1308</v>
      </c>
      <c r="E3">
        <v>7</v>
      </c>
      <c r="F3">
        <v>200000</v>
      </c>
      <c r="G3">
        <v>200000</v>
      </c>
      <c r="H3" s="1">
        <v>46184</v>
      </c>
      <c r="I3" s="1">
        <v>46153</v>
      </c>
      <c r="J3" s="5">
        <v>200000</v>
      </c>
      <c r="K3" s="5">
        <v>0</v>
      </c>
      <c r="L3" s="5">
        <v>200000</v>
      </c>
      <c r="M3" s="5">
        <v>200000</v>
      </c>
      <c r="N3" s="5">
        <v>0</v>
      </c>
      <c r="O3" s="5">
        <v>220000</v>
      </c>
      <c r="P3" s="5">
        <v>200000</v>
      </c>
      <c r="Q3" s="10">
        <f>O3</f>
        <v>220000</v>
      </c>
      <c r="R3" t="s">
        <v>1319</v>
      </c>
      <c r="S3" t="b">
        <f>K3=N3</f>
        <v>1</v>
      </c>
    </row>
    <row r="4" spans="1:19" x14ac:dyDescent="0.25">
      <c r="A4" t="s">
        <v>71</v>
      </c>
      <c r="B4" t="s">
        <v>499</v>
      </c>
      <c r="C4" t="s">
        <v>926</v>
      </c>
      <c r="D4" t="s">
        <v>1308</v>
      </c>
      <c r="E4">
        <v>7</v>
      </c>
      <c r="F4">
        <v>200000</v>
      </c>
      <c r="G4">
        <v>200000</v>
      </c>
      <c r="H4" s="1">
        <v>46184</v>
      </c>
      <c r="I4" s="1">
        <v>46153</v>
      </c>
      <c r="J4" s="5">
        <v>200000</v>
      </c>
      <c r="K4" s="5">
        <v>0</v>
      </c>
      <c r="L4" s="5">
        <v>200000</v>
      </c>
      <c r="M4" s="5">
        <v>200000</v>
      </c>
      <c r="N4" s="5">
        <v>0</v>
      </c>
      <c r="O4" s="5">
        <v>220000</v>
      </c>
      <c r="P4" s="5">
        <v>200000</v>
      </c>
      <c r="Q4" s="10">
        <f>O4</f>
        <v>220000</v>
      </c>
      <c r="R4" t="s">
        <v>1319</v>
      </c>
      <c r="S4" t="b">
        <f>K4=N4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940B-D3E9-4328-B202-70D71D310AB0}">
  <dimension ref="A1:R2"/>
  <sheetViews>
    <sheetView topLeftCell="E1" workbookViewId="0">
      <selection activeCell="Q3" sqref="Q3"/>
    </sheetView>
  </sheetViews>
  <sheetFormatPr defaultRowHeight="15" x14ac:dyDescent="0.25"/>
  <cols>
    <col min="1" max="1" width="11.28515625" bestFit="1" customWidth="1"/>
    <col min="2" max="2" width="44.140625" bestFit="1" customWidth="1"/>
    <col min="3" max="3" width="11" bestFit="1" customWidth="1"/>
    <col min="4" max="4" width="19.42578125" bestFit="1" customWidth="1"/>
    <col min="5" max="5" width="5.140625" bestFit="1" customWidth="1"/>
    <col min="6" max="6" width="11.7109375" bestFit="1" customWidth="1"/>
    <col min="7" max="7" width="12.28515625" bestFit="1" customWidth="1"/>
    <col min="8" max="9" width="18.28515625" bestFit="1" customWidth="1"/>
    <col min="10" max="10" width="8.85546875" bestFit="1" customWidth="1"/>
    <col min="11" max="11" width="9" bestFit="1" customWidth="1"/>
    <col min="12" max="12" width="10" bestFit="1" customWidth="1"/>
    <col min="13" max="14" width="9" bestFit="1" customWidth="1"/>
    <col min="15" max="15" width="11.140625" bestFit="1" customWidth="1"/>
    <col min="16" max="16" width="7" bestFit="1" customWidth="1"/>
    <col min="17" max="17" width="7" style="8" bestFit="1" customWidth="1"/>
    <col min="18" max="18" width="30.8554687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7" t="s">
        <v>1334</v>
      </c>
      <c r="R1" s="2" t="s">
        <v>16</v>
      </c>
    </row>
    <row r="2" spans="1:18" x14ac:dyDescent="0.25">
      <c r="A2" t="s">
        <v>62</v>
      </c>
      <c r="B2" t="s">
        <v>490</v>
      </c>
      <c r="C2" t="s">
        <v>917</v>
      </c>
      <c r="D2" t="s">
        <v>1305</v>
      </c>
      <c r="E2">
        <v>12</v>
      </c>
      <c r="F2">
        <v>930000</v>
      </c>
      <c r="G2">
        <v>770595.89</v>
      </c>
      <c r="H2" s="1">
        <v>46179</v>
      </c>
      <c r="I2" s="1">
        <v>46087</v>
      </c>
      <c r="J2">
        <v>750000</v>
      </c>
      <c r="K2">
        <v>17095.89</v>
      </c>
      <c r="L2">
        <v>767095.89</v>
      </c>
      <c r="M2">
        <v>753500</v>
      </c>
      <c r="N2">
        <v>17095.89</v>
      </c>
      <c r="O2">
        <v>0</v>
      </c>
      <c r="P2">
        <v>930000</v>
      </c>
      <c r="Q2" s="8">
        <f>P2</f>
        <v>930000</v>
      </c>
      <c r="R2" t="s">
        <v>1319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8"/>
  <sheetViews>
    <sheetView topLeftCell="G1" workbookViewId="0">
      <pane ySplit="1" topLeftCell="A181" activePane="bottomLeft" state="frozen"/>
      <selection activeCell="B1" sqref="B1"/>
      <selection pane="bottomLeft" activeCell="Q182" sqref="Q182"/>
    </sheetView>
  </sheetViews>
  <sheetFormatPr defaultRowHeight="15" x14ac:dyDescent="0.25"/>
  <cols>
    <col min="1" max="1" width="11.140625" bestFit="1" customWidth="1"/>
    <col min="2" max="2" width="44.140625" bestFit="1" customWidth="1"/>
    <col min="3" max="3" width="11" bestFit="1" customWidth="1"/>
    <col min="4" max="4" width="27.5703125" bestFit="1" customWidth="1"/>
    <col min="5" max="5" width="5.140625" bestFit="1" customWidth="1"/>
    <col min="6" max="6" width="11.7109375" bestFit="1" customWidth="1"/>
    <col min="7" max="7" width="12.28515625" bestFit="1" customWidth="1"/>
    <col min="8" max="9" width="18.28515625" bestFit="1" customWidth="1"/>
    <col min="10" max="10" width="8.85546875" bestFit="1" customWidth="1"/>
    <col min="11" max="11" width="10" bestFit="1" customWidth="1"/>
    <col min="12" max="13" width="11" bestFit="1" customWidth="1"/>
    <col min="14" max="14" width="10" bestFit="1" customWidth="1"/>
    <col min="15" max="15" width="11.140625" bestFit="1" customWidth="1"/>
    <col min="16" max="16" width="10" bestFit="1" customWidth="1"/>
    <col min="17" max="17" width="10" style="10" bestFit="1" customWidth="1"/>
    <col min="18" max="18" width="36.8554687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9" t="s">
        <v>1333</v>
      </c>
      <c r="R1" s="2" t="s">
        <v>16</v>
      </c>
    </row>
    <row r="2" spans="1:18" x14ac:dyDescent="0.25">
      <c r="A2" t="s">
        <v>17</v>
      </c>
      <c r="B2" t="s">
        <v>445</v>
      </c>
      <c r="C2" t="s">
        <v>872</v>
      </c>
      <c r="D2" t="s">
        <v>1299</v>
      </c>
      <c r="E2">
        <v>9</v>
      </c>
      <c r="F2">
        <v>5900</v>
      </c>
      <c r="G2">
        <v>9150</v>
      </c>
      <c r="H2" s="1">
        <v>46182</v>
      </c>
      <c r="I2" s="1">
        <v>46154</v>
      </c>
      <c r="J2">
        <v>15000</v>
      </c>
      <c r="K2">
        <v>4500</v>
      </c>
      <c r="L2">
        <v>19500</v>
      </c>
      <c r="M2">
        <v>7500</v>
      </c>
      <c r="N2">
        <v>1650</v>
      </c>
      <c r="O2">
        <v>3250</v>
      </c>
      <c r="P2">
        <v>5900</v>
      </c>
      <c r="Q2" s="10">
        <f>P2</f>
        <v>5900</v>
      </c>
      <c r="R2" t="s">
        <v>1317</v>
      </c>
    </row>
    <row r="3" spans="1:18" x14ac:dyDescent="0.25">
      <c r="A3" t="s">
        <v>18</v>
      </c>
      <c r="B3" t="s">
        <v>446</v>
      </c>
      <c r="C3" t="s">
        <v>873</v>
      </c>
      <c r="D3" t="s">
        <v>1300</v>
      </c>
      <c r="E3">
        <v>7</v>
      </c>
      <c r="F3">
        <v>2626</v>
      </c>
      <c r="G3">
        <v>5960</v>
      </c>
      <c r="H3" s="1">
        <v>46184</v>
      </c>
      <c r="I3" s="1">
        <v>46163</v>
      </c>
      <c r="J3">
        <v>7000</v>
      </c>
      <c r="K3">
        <v>3010</v>
      </c>
      <c r="L3">
        <v>10010</v>
      </c>
      <c r="M3">
        <v>4456</v>
      </c>
      <c r="N3">
        <v>1504</v>
      </c>
      <c r="O3">
        <v>1669</v>
      </c>
      <c r="P3">
        <v>2626</v>
      </c>
      <c r="Q3" s="10">
        <f t="shared" ref="Q3:Q66" si="0">P3</f>
        <v>2626</v>
      </c>
      <c r="R3" t="s">
        <v>1317</v>
      </c>
    </row>
    <row r="4" spans="1:18" x14ac:dyDescent="0.25">
      <c r="A4" t="s">
        <v>19</v>
      </c>
      <c r="B4" t="s">
        <v>447</v>
      </c>
      <c r="C4" t="s">
        <v>874</v>
      </c>
      <c r="D4" t="s">
        <v>1300</v>
      </c>
      <c r="E4">
        <v>6</v>
      </c>
      <c r="F4">
        <v>1751</v>
      </c>
      <c r="G4">
        <v>8250</v>
      </c>
      <c r="H4" s="1">
        <v>46185</v>
      </c>
      <c r="I4" s="1">
        <v>46164</v>
      </c>
      <c r="J4">
        <v>10000</v>
      </c>
      <c r="K4">
        <v>3000</v>
      </c>
      <c r="L4">
        <v>13000</v>
      </c>
      <c r="M4">
        <v>6666</v>
      </c>
      <c r="N4">
        <v>1584</v>
      </c>
      <c r="O4">
        <v>2167</v>
      </c>
      <c r="P4">
        <v>1751</v>
      </c>
      <c r="Q4" s="10">
        <f t="shared" si="0"/>
        <v>1751</v>
      </c>
      <c r="R4" t="s">
        <v>1317</v>
      </c>
    </row>
    <row r="5" spans="1:18" x14ac:dyDescent="0.25">
      <c r="A5" t="s">
        <v>20</v>
      </c>
      <c r="B5" t="s">
        <v>448</v>
      </c>
      <c r="C5" t="s">
        <v>875</v>
      </c>
      <c r="D5" t="s">
        <v>1300</v>
      </c>
      <c r="E5">
        <v>6</v>
      </c>
      <c r="F5">
        <v>661</v>
      </c>
      <c r="G5">
        <v>7160</v>
      </c>
      <c r="H5" s="1">
        <v>46185</v>
      </c>
      <c r="I5" s="1">
        <v>46164</v>
      </c>
      <c r="J5">
        <v>10000</v>
      </c>
      <c r="K5">
        <v>3000</v>
      </c>
      <c r="L5">
        <v>13000</v>
      </c>
      <c r="M5">
        <v>5660</v>
      </c>
      <c r="N5">
        <v>1500</v>
      </c>
      <c r="O5">
        <v>2167</v>
      </c>
      <c r="P5">
        <v>661</v>
      </c>
      <c r="Q5" s="10">
        <f t="shared" si="0"/>
        <v>661</v>
      </c>
      <c r="R5" t="s">
        <v>1317</v>
      </c>
    </row>
    <row r="6" spans="1:18" x14ac:dyDescent="0.25">
      <c r="A6" t="s">
        <v>21</v>
      </c>
      <c r="B6" t="s">
        <v>449</v>
      </c>
      <c r="C6" t="s">
        <v>876</v>
      </c>
      <c r="D6" t="s">
        <v>1301</v>
      </c>
      <c r="E6">
        <v>6</v>
      </c>
      <c r="F6">
        <v>1000</v>
      </c>
      <c r="G6">
        <v>2500</v>
      </c>
      <c r="H6" s="1">
        <v>46185</v>
      </c>
      <c r="I6" s="1">
        <v>46164</v>
      </c>
      <c r="J6">
        <v>5000</v>
      </c>
      <c r="K6">
        <v>1000</v>
      </c>
      <c r="L6">
        <v>6000</v>
      </c>
      <c r="M6">
        <v>2250</v>
      </c>
      <c r="N6">
        <v>250</v>
      </c>
      <c r="O6">
        <v>1500</v>
      </c>
      <c r="P6">
        <v>1000</v>
      </c>
      <c r="Q6" s="10">
        <f t="shared" si="0"/>
        <v>1000</v>
      </c>
      <c r="R6" t="s">
        <v>1317</v>
      </c>
    </row>
    <row r="7" spans="1:18" x14ac:dyDescent="0.25">
      <c r="A7" t="s">
        <v>22</v>
      </c>
      <c r="B7" t="s">
        <v>450</v>
      </c>
      <c r="C7" t="s">
        <v>877</v>
      </c>
      <c r="D7" t="s">
        <v>1299</v>
      </c>
      <c r="E7">
        <v>1</v>
      </c>
      <c r="F7">
        <v>2808</v>
      </c>
      <c r="G7">
        <v>8440</v>
      </c>
      <c r="H7" s="1">
        <v>46190</v>
      </c>
      <c r="I7" s="1">
        <v>46162</v>
      </c>
      <c r="J7">
        <v>13000</v>
      </c>
      <c r="K7">
        <v>3900</v>
      </c>
      <c r="L7">
        <v>16900</v>
      </c>
      <c r="M7">
        <v>6499</v>
      </c>
      <c r="N7">
        <v>1941</v>
      </c>
      <c r="O7">
        <v>2817</v>
      </c>
      <c r="P7">
        <v>2808</v>
      </c>
      <c r="Q7" s="10">
        <f t="shared" si="0"/>
        <v>2808</v>
      </c>
      <c r="R7" t="s">
        <v>1317</v>
      </c>
    </row>
    <row r="8" spans="1:18" x14ac:dyDescent="0.25">
      <c r="A8" t="s">
        <v>23</v>
      </c>
      <c r="B8" t="s">
        <v>451</v>
      </c>
      <c r="C8" t="s">
        <v>878</v>
      </c>
      <c r="D8" t="s">
        <v>1300</v>
      </c>
      <c r="E8">
        <v>1</v>
      </c>
      <c r="F8">
        <v>2158</v>
      </c>
      <c r="G8">
        <v>6490</v>
      </c>
      <c r="H8" s="1">
        <v>46190</v>
      </c>
      <c r="I8" s="1">
        <v>46162</v>
      </c>
      <c r="J8">
        <v>10000</v>
      </c>
      <c r="K8">
        <v>3000</v>
      </c>
      <c r="L8">
        <v>13000</v>
      </c>
      <c r="M8">
        <v>4999</v>
      </c>
      <c r="N8">
        <v>1491</v>
      </c>
      <c r="O8">
        <v>2167</v>
      </c>
      <c r="P8">
        <v>2158</v>
      </c>
      <c r="Q8" s="10">
        <f t="shared" si="0"/>
        <v>2158</v>
      </c>
      <c r="R8" t="s">
        <v>1317</v>
      </c>
    </row>
    <row r="9" spans="1:18" x14ac:dyDescent="0.25">
      <c r="A9" t="s">
        <v>24</v>
      </c>
      <c r="B9" t="s">
        <v>452</v>
      </c>
      <c r="C9" t="s">
        <v>879</v>
      </c>
      <c r="D9" t="s">
        <v>1300</v>
      </c>
      <c r="E9">
        <v>3</v>
      </c>
      <c r="F9">
        <v>2161</v>
      </c>
      <c r="G9">
        <v>8660</v>
      </c>
      <c r="H9" s="1">
        <v>46188</v>
      </c>
      <c r="I9" s="1">
        <v>46167</v>
      </c>
      <c r="J9">
        <v>10000</v>
      </c>
      <c r="K9">
        <v>3000</v>
      </c>
      <c r="L9">
        <v>13000</v>
      </c>
      <c r="M9">
        <v>6666</v>
      </c>
      <c r="N9">
        <v>1994</v>
      </c>
      <c r="O9">
        <v>2167</v>
      </c>
      <c r="P9">
        <v>2161</v>
      </c>
      <c r="Q9" s="10">
        <f t="shared" si="0"/>
        <v>2161</v>
      </c>
      <c r="R9" t="s">
        <v>1317</v>
      </c>
    </row>
    <row r="10" spans="1:18" x14ac:dyDescent="0.25">
      <c r="A10" t="s">
        <v>25</v>
      </c>
      <c r="B10" t="s">
        <v>453</v>
      </c>
      <c r="C10" t="s">
        <v>880</v>
      </c>
      <c r="D10" t="s">
        <v>1300</v>
      </c>
      <c r="E10">
        <v>15</v>
      </c>
      <c r="F10">
        <v>1160</v>
      </c>
      <c r="G10">
        <v>1160</v>
      </c>
      <c r="H10" s="1">
        <v>46176</v>
      </c>
      <c r="I10" s="1">
        <v>46134</v>
      </c>
      <c r="J10">
        <v>10000</v>
      </c>
      <c r="K10">
        <v>3000</v>
      </c>
      <c r="L10">
        <v>13000</v>
      </c>
      <c r="M10">
        <v>1160</v>
      </c>
      <c r="N10">
        <v>0</v>
      </c>
      <c r="O10">
        <v>2167</v>
      </c>
      <c r="P10">
        <v>1160</v>
      </c>
      <c r="Q10" s="10">
        <f t="shared" si="0"/>
        <v>1160</v>
      </c>
      <c r="R10" t="s">
        <v>1317</v>
      </c>
    </row>
    <row r="11" spans="1:18" x14ac:dyDescent="0.25">
      <c r="A11" t="s">
        <v>26</v>
      </c>
      <c r="B11" t="s">
        <v>454</v>
      </c>
      <c r="C11" t="s">
        <v>881</v>
      </c>
      <c r="D11" t="s">
        <v>1300</v>
      </c>
      <c r="E11">
        <v>2</v>
      </c>
      <c r="F11">
        <v>2164</v>
      </c>
      <c r="G11">
        <v>10830</v>
      </c>
      <c r="H11" s="1">
        <v>46189</v>
      </c>
      <c r="I11" s="1">
        <v>46175</v>
      </c>
      <c r="J11">
        <v>10000</v>
      </c>
      <c r="K11">
        <v>3000</v>
      </c>
      <c r="L11">
        <v>13000</v>
      </c>
      <c r="M11">
        <v>8333</v>
      </c>
      <c r="N11">
        <v>2497</v>
      </c>
      <c r="O11">
        <v>2167</v>
      </c>
      <c r="P11">
        <v>2164</v>
      </c>
      <c r="Q11" s="10">
        <f t="shared" si="0"/>
        <v>2164</v>
      </c>
      <c r="R11" t="s">
        <v>1317</v>
      </c>
    </row>
    <row r="12" spans="1:18" x14ac:dyDescent="0.25">
      <c r="A12" t="s">
        <v>27</v>
      </c>
      <c r="B12" t="s">
        <v>455</v>
      </c>
      <c r="C12" t="s">
        <v>882</v>
      </c>
      <c r="D12" t="s">
        <v>1300</v>
      </c>
      <c r="E12">
        <v>1</v>
      </c>
      <c r="F12">
        <v>117</v>
      </c>
      <c r="G12">
        <v>10950</v>
      </c>
      <c r="H12" s="1">
        <v>46190</v>
      </c>
      <c r="I12" s="1">
        <v>46183</v>
      </c>
      <c r="J12">
        <v>10000</v>
      </c>
      <c r="K12">
        <v>3000</v>
      </c>
      <c r="L12">
        <v>13000</v>
      </c>
      <c r="M12">
        <v>8450</v>
      </c>
      <c r="N12">
        <v>2500</v>
      </c>
      <c r="O12">
        <v>2167</v>
      </c>
      <c r="P12">
        <v>117</v>
      </c>
      <c r="Q12" s="10">
        <f t="shared" si="0"/>
        <v>117</v>
      </c>
      <c r="R12" t="s">
        <v>1317</v>
      </c>
    </row>
    <row r="13" spans="1:18" x14ac:dyDescent="0.25">
      <c r="A13" t="s">
        <v>28</v>
      </c>
      <c r="B13" t="s">
        <v>456</v>
      </c>
      <c r="C13" t="s">
        <v>883</v>
      </c>
      <c r="D13" t="s">
        <v>1302</v>
      </c>
      <c r="E13">
        <v>7</v>
      </c>
      <c r="F13">
        <v>5150</v>
      </c>
      <c r="G13">
        <v>18150</v>
      </c>
      <c r="H13" s="1">
        <v>46184</v>
      </c>
      <c r="I13" s="1">
        <v>46135</v>
      </c>
      <c r="J13">
        <v>30000</v>
      </c>
      <c r="K13">
        <v>9000</v>
      </c>
      <c r="L13">
        <v>39000</v>
      </c>
      <c r="M13">
        <v>14400</v>
      </c>
      <c r="N13">
        <v>3750</v>
      </c>
      <c r="O13">
        <v>3250</v>
      </c>
      <c r="P13">
        <v>5150</v>
      </c>
      <c r="Q13" s="10">
        <f t="shared" si="0"/>
        <v>5150</v>
      </c>
      <c r="R13" t="s">
        <v>1318</v>
      </c>
    </row>
    <row r="14" spans="1:18" x14ac:dyDescent="0.25">
      <c r="A14" t="s">
        <v>29</v>
      </c>
      <c r="B14" t="s">
        <v>457</v>
      </c>
      <c r="C14" t="s">
        <v>884</v>
      </c>
      <c r="D14" t="s">
        <v>1299</v>
      </c>
      <c r="E14">
        <v>8</v>
      </c>
      <c r="F14">
        <v>5200</v>
      </c>
      <c r="G14">
        <v>5200</v>
      </c>
      <c r="H14" s="1">
        <v>46183</v>
      </c>
      <c r="I14" s="1">
        <v>46148</v>
      </c>
      <c r="J14">
        <v>12000</v>
      </c>
      <c r="K14">
        <v>3600</v>
      </c>
      <c r="L14">
        <v>15600</v>
      </c>
      <c r="M14">
        <v>4000</v>
      </c>
      <c r="N14">
        <v>1200</v>
      </c>
      <c r="O14">
        <v>2600</v>
      </c>
      <c r="P14">
        <v>5200</v>
      </c>
      <c r="Q14" s="10">
        <f t="shared" si="0"/>
        <v>5200</v>
      </c>
      <c r="R14" t="s">
        <v>1318</v>
      </c>
    </row>
    <row r="15" spans="1:18" x14ac:dyDescent="0.25">
      <c r="A15" t="s">
        <v>30</v>
      </c>
      <c r="B15" t="s">
        <v>458</v>
      </c>
      <c r="C15" t="s">
        <v>885</v>
      </c>
      <c r="D15" t="s">
        <v>1300</v>
      </c>
      <c r="E15">
        <v>2</v>
      </c>
      <c r="F15">
        <v>2155</v>
      </c>
      <c r="G15">
        <v>4320</v>
      </c>
      <c r="H15" s="1">
        <v>46189</v>
      </c>
      <c r="I15" s="1">
        <v>46154</v>
      </c>
      <c r="J15">
        <v>10000</v>
      </c>
      <c r="K15">
        <v>3000</v>
      </c>
      <c r="L15">
        <v>13000</v>
      </c>
      <c r="M15">
        <v>3332</v>
      </c>
      <c r="N15">
        <v>988</v>
      </c>
      <c r="O15">
        <v>2167</v>
      </c>
      <c r="P15">
        <v>2155</v>
      </c>
      <c r="Q15" s="10">
        <f t="shared" si="0"/>
        <v>2155</v>
      </c>
      <c r="R15" t="s">
        <v>1318</v>
      </c>
    </row>
    <row r="16" spans="1:18" x14ac:dyDescent="0.25">
      <c r="A16" t="s">
        <v>31</v>
      </c>
      <c r="B16" t="s">
        <v>459</v>
      </c>
      <c r="C16" t="s">
        <v>886</v>
      </c>
      <c r="D16" t="s">
        <v>1299</v>
      </c>
      <c r="E16">
        <v>8</v>
      </c>
      <c r="F16">
        <v>5200</v>
      </c>
      <c r="G16">
        <v>7800</v>
      </c>
      <c r="H16" s="1">
        <v>46183</v>
      </c>
      <c r="I16" s="1">
        <v>46155</v>
      </c>
      <c r="J16">
        <v>12000</v>
      </c>
      <c r="K16">
        <v>3600</v>
      </c>
      <c r="L16">
        <v>15600</v>
      </c>
      <c r="M16">
        <v>6000</v>
      </c>
      <c r="N16">
        <v>1800</v>
      </c>
      <c r="O16">
        <v>2600</v>
      </c>
      <c r="P16">
        <v>5200</v>
      </c>
      <c r="Q16" s="10">
        <f t="shared" si="0"/>
        <v>5200</v>
      </c>
      <c r="R16" t="s">
        <v>1318</v>
      </c>
    </row>
    <row r="17" spans="1:18" x14ac:dyDescent="0.25">
      <c r="A17" t="s">
        <v>32</v>
      </c>
      <c r="B17" t="s">
        <v>460</v>
      </c>
      <c r="C17" t="s">
        <v>887</v>
      </c>
      <c r="D17" t="s">
        <v>1300</v>
      </c>
      <c r="E17">
        <v>2</v>
      </c>
      <c r="F17">
        <v>2166</v>
      </c>
      <c r="G17">
        <v>6498</v>
      </c>
      <c r="H17" s="1">
        <v>46189</v>
      </c>
      <c r="I17" s="1">
        <v>46161</v>
      </c>
      <c r="J17">
        <v>10000</v>
      </c>
      <c r="K17">
        <v>3000</v>
      </c>
      <c r="L17">
        <v>13000</v>
      </c>
      <c r="M17">
        <v>4999</v>
      </c>
      <c r="N17">
        <v>1499</v>
      </c>
      <c r="O17">
        <v>2167</v>
      </c>
      <c r="P17">
        <v>2166</v>
      </c>
      <c r="Q17" s="10">
        <f t="shared" si="0"/>
        <v>2166</v>
      </c>
      <c r="R17" t="s">
        <v>1318</v>
      </c>
    </row>
    <row r="18" spans="1:18" x14ac:dyDescent="0.25">
      <c r="A18" t="s">
        <v>33</v>
      </c>
      <c r="B18" t="s">
        <v>461</v>
      </c>
      <c r="C18" t="s">
        <v>888</v>
      </c>
      <c r="D18" t="s">
        <v>1300</v>
      </c>
      <c r="E18">
        <v>1</v>
      </c>
      <c r="F18">
        <v>2158</v>
      </c>
      <c r="G18">
        <v>6490</v>
      </c>
      <c r="H18" s="1">
        <v>46190</v>
      </c>
      <c r="I18" s="1">
        <v>46162</v>
      </c>
      <c r="J18">
        <v>10000</v>
      </c>
      <c r="K18">
        <v>3000</v>
      </c>
      <c r="L18">
        <v>13000</v>
      </c>
      <c r="M18">
        <v>4999</v>
      </c>
      <c r="N18">
        <v>1491</v>
      </c>
      <c r="O18">
        <v>2167</v>
      </c>
      <c r="P18">
        <v>2158</v>
      </c>
      <c r="Q18" s="10">
        <f t="shared" si="0"/>
        <v>2158</v>
      </c>
      <c r="R18" t="s">
        <v>1318</v>
      </c>
    </row>
    <row r="19" spans="1:18" x14ac:dyDescent="0.25">
      <c r="A19" t="s">
        <v>34</v>
      </c>
      <c r="B19" t="s">
        <v>462</v>
      </c>
      <c r="C19" t="s">
        <v>889</v>
      </c>
      <c r="D19" t="s">
        <v>1300</v>
      </c>
      <c r="E19">
        <v>1</v>
      </c>
      <c r="F19">
        <v>3000</v>
      </c>
      <c r="G19">
        <v>9000</v>
      </c>
      <c r="H19" s="1">
        <v>46190</v>
      </c>
      <c r="I19" s="1">
        <v>46176</v>
      </c>
      <c r="J19">
        <v>10000</v>
      </c>
      <c r="K19">
        <v>2000</v>
      </c>
      <c r="L19">
        <v>12000</v>
      </c>
      <c r="M19">
        <v>7500</v>
      </c>
      <c r="N19">
        <v>1500</v>
      </c>
      <c r="O19">
        <v>3000</v>
      </c>
      <c r="P19">
        <v>3000</v>
      </c>
      <c r="Q19" s="10">
        <f t="shared" si="0"/>
        <v>3000</v>
      </c>
      <c r="R19" t="s">
        <v>1318</v>
      </c>
    </row>
    <row r="20" spans="1:18" x14ac:dyDescent="0.25">
      <c r="A20" t="s">
        <v>35</v>
      </c>
      <c r="B20" t="s">
        <v>463</v>
      </c>
      <c r="C20" t="s">
        <v>890</v>
      </c>
      <c r="D20" t="s">
        <v>1300</v>
      </c>
      <c r="E20">
        <v>2</v>
      </c>
      <c r="F20">
        <v>2167</v>
      </c>
      <c r="G20">
        <v>13000</v>
      </c>
      <c r="H20" s="1">
        <v>46189</v>
      </c>
      <c r="I20" s="1">
        <v>46182</v>
      </c>
      <c r="J20">
        <v>10000</v>
      </c>
      <c r="K20">
        <v>3000</v>
      </c>
      <c r="L20">
        <v>13000</v>
      </c>
      <c r="M20">
        <v>10000</v>
      </c>
      <c r="N20">
        <v>3000</v>
      </c>
      <c r="O20">
        <v>2167</v>
      </c>
      <c r="P20">
        <v>2167</v>
      </c>
      <c r="Q20" s="10">
        <f t="shared" si="0"/>
        <v>2167</v>
      </c>
      <c r="R20" t="s">
        <v>1318</v>
      </c>
    </row>
    <row r="21" spans="1:18" x14ac:dyDescent="0.25">
      <c r="A21" t="s">
        <v>36</v>
      </c>
      <c r="B21" t="s">
        <v>464</v>
      </c>
      <c r="C21" t="s">
        <v>891</v>
      </c>
      <c r="D21" t="s">
        <v>1299</v>
      </c>
      <c r="E21">
        <v>1</v>
      </c>
      <c r="F21">
        <v>2600</v>
      </c>
      <c r="G21">
        <v>15600</v>
      </c>
      <c r="H21" s="1">
        <v>46190</v>
      </c>
      <c r="I21" s="1">
        <v>46183</v>
      </c>
      <c r="J21">
        <v>12000</v>
      </c>
      <c r="K21">
        <v>3600</v>
      </c>
      <c r="L21">
        <v>15600</v>
      </c>
      <c r="M21">
        <v>12000</v>
      </c>
      <c r="N21">
        <v>3600</v>
      </c>
      <c r="O21">
        <v>2600</v>
      </c>
      <c r="P21">
        <v>2600</v>
      </c>
      <c r="Q21" s="10">
        <f t="shared" si="0"/>
        <v>2600</v>
      </c>
      <c r="R21" t="s">
        <v>1318</v>
      </c>
    </row>
    <row r="22" spans="1:18" x14ac:dyDescent="0.25">
      <c r="A22" t="s">
        <v>37</v>
      </c>
      <c r="B22" t="s">
        <v>465</v>
      </c>
      <c r="C22" t="s">
        <v>892</v>
      </c>
      <c r="D22" t="s">
        <v>1301</v>
      </c>
      <c r="E22">
        <v>1</v>
      </c>
      <c r="F22">
        <v>1500</v>
      </c>
      <c r="G22">
        <v>6000</v>
      </c>
      <c r="H22" s="1">
        <v>46190</v>
      </c>
      <c r="I22" s="1">
        <v>46183</v>
      </c>
      <c r="J22">
        <v>5000</v>
      </c>
      <c r="K22">
        <v>1000</v>
      </c>
      <c r="L22">
        <v>6000</v>
      </c>
      <c r="M22">
        <v>5000</v>
      </c>
      <c r="N22">
        <v>1000</v>
      </c>
      <c r="O22">
        <v>1500</v>
      </c>
      <c r="P22">
        <v>1500</v>
      </c>
      <c r="Q22" s="10">
        <f t="shared" si="0"/>
        <v>1500</v>
      </c>
      <c r="R22" t="s">
        <v>1318</v>
      </c>
    </row>
    <row r="23" spans="1:18" x14ac:dyDescent="0.25">
      <c r="A23" t="s">
        <v>38</v>
      </c>
      <c r="B23" t="s">
        <v>466</v>
      </c>
      <c r="C23" t="s">
        <v>893</v>
      </c>
      <c r="D23" t="s">
        <v>1302</v>
      </c>
      <c r="E23">
        <v>1</v>
      </c>
      <c r="F23">
        <v>2140</v>
      </c>
      <c r="G23">
        <v>6470</v>
      </c>
      <c r="H23" s="1">
        <v>46190</v>
      </c>
      <c r="I23" s="1">
        <v>46120</v>
      </c>
      <c r="J23">
        <v>20000</v>
      </c>
      <c r="K23">
        <v>6000</v>
      </c>
      <c r="L23">
        <v>26000</v>
      </c>
      <c r="M23">
        <v>4997</v>
      </c>
      <c r="N23">
        <v>1473</v>
      </c>
      <c r="O23">
        <v>2167</v>
      </c>
      <c r="P23">
        <v>2140</v>
      </c>
      <c r="Q23" s="10">
        <f t="shared" si="0"/>
        <v>2140</v>
      </c>
      <c r="R23" t="s">
        <v>1318</v>
      </c>
    </row>
    <row r="24" spans="1:18" x14ac:dyDescent="0.25">
      <c r="A24" t="s">
        <v>39</v>
      </c>
      <c r="B24" t="s">
        <v>467</v>
      </c>
      <c r="C24" t="s">
        <v>894</v>
      </c>
      <c r="D24" t="s">
        <v>1300</v>
      </c>
      <c r="E24">
        <v>30</v>
      </c>
      <c r="F24">
        <v>4620</v>
      </c>
      <c r="G24">
        <v>4620</v>
      </c>
      <c r="H24" s="1">
        <v>46161</v>
      </c>
      <c r="I24" s="1">
        <v>46133</v>
      </c>
      <c r="J24">
        <v>10000</v>
      </c>
      <c r="K24">
        <v>3000</v>
      </c>
      <c r="L24">
        <v>13000</v>
      </c>
      <c r="M24">
        <v>3620</v>
      </c>
      <c r="N24">
        <v>1000</v>
      </c>
      <c r="O24">
        <v>2167</v>
      </c>
      <c r="P24">
        <v>4620</v>
      </c>
      <c r="Q24" s="10">
        <f t="shared" si="0"/>
        <v>4620</v>
      </c>
      <c r="R24" t="s">
        <v>1318</v>
      </c>
    </row>
    <row r="25" spans="1:18" x14ac:dyDescent="0.25">
      <c r="A25" t="s">
        <v>40</v>
      </c>
      <c r="B25" t="s">
        <v>468</v>
      </c>
      <c r="C25" t="s">
        <v>895</v>
      </c>
      <c r="D25" t="s">
        <v>1299</v>
      </c>
      <c r="E25">
        <v>2</v>
      </c>
      <c r="F25">
        <v>2200</v>
      </c>
      <c r="G25">
        <v>2200</v>
      </c>
      <c r="H25" s="1">
        <v>46189</v>
      </c>
      <c r="I25" s="1">
        <v>46147</v>
      </c>
      <c r="J25">
        <v>12000</v>
      </c>
      <c r="K25">
        <v>3600</v>
      </c>
      <c r="L25">
        <v>15600</v>
      </c>
      <c r="M25">
        <v>2000</v>
      </c>
      <c r="N25">
        <v>200</v>
      </c>
      <c r="O25">
        <v>2600</v>
      </c>
      <c r="P25">
        <v>2200</v>
      </c>
      <c r="Q25" s="10">
        <f t="shared" si="0"/>
        <v>2200</v>
      </c>
      <c r="R25" t="s">
        <v>1318</v>
      </c>
    </row>
    <row r="26" spans="1:18" x14ac:dyDescent="0.25">
      <c r="A26" t="s">
        <v>41</v>
      </c>
      <c r="B26" t="s">
        <v>469</v>
      </c>
      <c r="C26" t="s">
        <v>896</v>
      </c>
      <c r="D26" t="s">
        <v>1300</v>
      </c>
      <c r="E26">
        <v>3</v>
      </c>
      <c r="F26">
        <v>3000</v>
      </c>
      <c r="G26">
        <v>6000</v>
      </c>
      <c r="H26" s="1">
        <v>46188</v>
      </c>
      <c r="I26" s="1">
        <v>46167</v>
      </c>
      <c r="J26">
        <v>10000</v>
      </c>
      <c r="K26">
        <v>2000</v>
      </c>
      <c r="L26">
        <v>12000</v>
      </c>
      <c r="M26">
        <v>5000</v>
      </c>
      <c r="N26">
        <v>1000</v>
      </c>
      <c r="O26">
        <v>3000</v>
      </c>
      <c r="P26">
        <v>3000</v>
      </c>
      <c r="Q26" s="10">
        <f t="shared" si="0"/>
        <v>3000</v>
      </c>
      <c r="R26" t="s">
        <v>1318</v>
      </c>
    </row>
    <row r="27" spans="1:18" x14ac:dyDescent="0.25">
      <c r="A27" t="s">
        <v>42</v>
      </c>
      <c r="B27" t="s">
        <v>470</v>
      </c>
      <c r="C27" t="s">
        <v>897</v>
      </c>
      <c r="D27" t="s">
        <v>1300</v>
      </c>
      <c r="E27">
        <v>7</v>
      </c>
      <c r="F27">
        <v>2997</v>
      </c>
      <c r="G27">
        <v>5245</v>
      </c>
      <c r="H27" s="1">
        <v>46184</v>
      </c>
      <c r="I27" s="1">
        <v>46170</v>
      </c>
      <c r="J27">
        <v>7000</v>
      </c>
      <c r="K27">
        <v>1995</v>
      </c>
      <c r="L27">
        <v>8995</v>
      </c>
      <c r="M27">
        <v>4248</v>
      </c>
      <c r="N27">
        <v>997</v>
      </c>
      <c r="O27">
        <v>2249</v>
      </c>
      <c r="P27">
        <v>2997</v>
      </c>
      <c r="Q27" s="10">
        <f t="shared" si="0"/>
        <v>2997</v>
      </c>
      <c r="R27" t="s">
        <v>1318</v>
      </c>
    </row>
    <row r="28" spans="1:18" x14ac:dyDescent="0.25">
      <c r="A28" t="s">
        <v>43</v>
      </c>
      <c r="B28" t="s">
        <v>471</v>
      </c>
      <c r="C28" t="s">
        <v>898</v>
      </c>
      <c r="D28" t="s">
        <v>1300</v>
      </c>
      <c r="E28">
        <v>2</v>
      </c>
      <c r="F28">
        <v>1990</v>
      </c>
      <c r="G28">
        <v>5980</v>
      </c>
      <c r="H28" s="1">
        <v>46189</v>
      </c>
      <c r="I28" s="1">
        <v>46175</v>
      </c>
      <c r="J28">
        <v>6000</v>
      </c>
      <c r="K28">
        <v>1980</v>
      </c>
      <c r="L28">
        <v>7980</v>
      </c>
      <c r="M28">
        <v>4500</v>
      </c>
      <c r="N28">
        <v>1480</v>
      </c>
      <c r="O28">
        <v>1995</v>
      </c>
      <c r="P28">
        <v>1990</v>
      </c>
      <c r="Q28" s="10">
        <f t="shared" si="0"/>
        <v>1990</v>
      </c>
      <c r="R28" t="s">
        <v>1318</v>
      </c>
    </row>
    <row r="29" spans="1:18" x14ac:dyDescent="0.25">
      <c r="A29" t="s">
        <v>44</v>
      </c>
      <c r="B29" t="s">
        <v>472</v>
      </c>
      <c r="C29" t="s">
        <v>899</v>
      </c>
      <c r="D29" t="s">
        <v>1300</v>
      </c>
      <c r="E29">
        <v>1</v>
      </c>
      <c r="F29">
        <v>3000</v>
      </c>
      <c r="G29">
        <v>9000</v>
      </c>
      <c r="H29" s="1">
        <v>46190</v>
      </c>
      <c r="I29" s="1">
        <v>46176</v>
      </c>
      <c r="J29">
        <v>10000</v>
      </c>
      <c r="K29">
        <v>2000</v>
      </c>
      <c r="L29">
        <v>12000</v>
      </c>
      <c r="M29">
        <v>7500</v>
      </c>
      <c r="N29">
        <v>1500</v>
      </c>
      <c r="O29">
        <v>3000</v>
      </c>
      <c r="P29">
        <v>3000</v>
      </c>
      <c r="Q29" s="10">
        <f t="shared" si="0"/>
        <v>3000</v>
      </c>
      <c r="R29" t="s">
        <v>1318</v>
      </c>
    </row>
    <row r="30" spans="1:18" x14ac:dyDescent="0.25">
      <c r="A30" t="s">
        <v>45</v>
      </c>
      <c r="B30" t="s">
        <v>473</v>
      </c>
      <c r="C30" t="s">
        <v>900</v>
      </c>
      <c r="D30" t="s">
        <v>1303</v>
      </c>
      <c r="E30">
        <v>3</v>
      </c>
      <c r="F30">
        <v>14330</v>
      </c>
      <c r="G30">
        <v>43000</v>
      </c>
      <c r="H30" s="1">
        <v>46188</v>
      </c>
      <c r="I30" s="1">
        <v>45884</v>
      </c>
      <c r="J30">
        <v>100000</v>
      </c>
      <c r="K30">
        <v>72000</v>
      </c>
      <c r="L30">
        <v>172000</v>
      </c>
      <c r="M30">
        <v>25003</v>
      </c>
      <c r="N30">
        <v>17997</v>
      </c>
      <c r="O30">
        <v>14333</v>
      </c>
      <c r="P30">
        <v>14330</v>
      </c>
      <c r="Q30" s="10">
        <f t="shared" si="0"/>
        <v>14330</v>
      </c>
      <c r="R30" t="s">
        <v>1318</v>
      </c>
    </row>
    <row r="31" spans="1:18" x14ac:dyDescent="0.25">
      <c r="A31" t="s">
        <v>46</v>
      </c>
      <c r="B31" t="s">
        <v>474</v>
      </c>
      <c r="C31" t="s">
        <v>901</v>
      </c>
      <c r="D31" t="s">
        <v>1302</v>
      </c>
      <c r="E31">
        <v>7</v>
      </c>
      <c r="F31">
        <v>3250</v>
      </c>
      <c r="G31">
        <v>6500</v>
      </c>
      <c r="H31" s="1">
        <v>46184</v>
      </c>
      <c r="I31" s="1">
        <v>46121</v>
      </c>
      <c r="J31">
        <v>15000</v>
      </c>
      <c r="K31">
        <v>4500</v>
      </c>
      <c r="L31">
        <v>19500</v>
      </c>
      <c r="M31">
        <v>5000</v>
      </c>
      <c r="N31">
        <v>1500</v>
      </c>
      <c r="O31">
        <v>1625</v>
      </c>
      <c r="P31">
        <v>3250</v>
      </c>
      <c r="Q31" s="10">
        <f t="shared" si="0"/>
        <v>3250</v>
      </c>
      <c r="R31" t="s">
        <v>1318</v>
      </c>
    </row>
    <row r="32" spans="1:18" x14ac:dyDescent="0.25">
      <c r="A32" t="s">
        <v>47</v>
      </c>
      <c r="B32" t="s">
        <v>475</v>
      </c>
      <c r="C32" t="s">
        <v>902</v>
      </c>
      <c r="D32" t="s">
        <v>1302</v>
      </c>
      <c r="E32">
        <v>8</v>
      </c>
      <c r="F32">
        <v>2156</v>
      </c>
      <c r="G32">
        <v>7575</v>
      </c>
      <c r="H32" s="1">
        <v>46183</v>
      </c>
      <c r="I32" s="1">
        <v>46141</v>
      </c>
      <c r="J32">
        <v>10000</v>
      </c>
      <c r="K32">
        <v>3000</v>
      </c>
      <c r="L32">
        <v>13000</v>
      </c>
      <c r="M32">
        <v>5835</v>
      </c>
      <c r="N32">
        <v>1740</v>
      </c>
      <c r="O32">
        <v>1083</v>
      </c>
      <c r="P32">
        <v>2156</v>
      </c>
      <c r="Q32" s="10">
        <f t="shared" si="0"/>
        <v>2156</v>
      </c>
      <c r="R32" t="s">
        <v>1318</v>
      </c>
    </row>
    <row r="33" spans="1:18" x14ac:dyDescent="0.25">
      <c r="A33" t="s">
        <v>48</v>
      </c>
      <c r="B33" t="s">
        <v>476</v>
      </c>
      <c r="C33" t="s">
        <v>903</v>
      </c>
      <c r="D33" t="s">
        <v>1302</v>
      </c>
      <c r="E33">
        <v>2</v>
      </c>
      <c r="F33">
        <v>883</v>
      </c>
      <c r="G33">
        <v>7385</v>
      </c>
      <c r="H33" s="1">
        <v>46189</v>
      </c>
      <c r="I33" s="1">
        <v>46147</v>
      </c>
      <c r="J33">
        <v>10000</v>
      </c>
      <c r="K33">
        <v>3000</v>
      </c>
      <c r="L33">
        <v>13000</v>
      </c>
      <c r="M33">
        <v>5835</v>
      </c>
      <c r="N33">
        <v>1550</v>
      </c>
      <c r="O33">
        <v>1083</v>
      </c>
      <c r="P33">
        <v>883</v>
      </c>
      <c r="Q33" s="10">
        <f t="shared" si="0"/>
        <v>883</v>
      </c>
      <c r="R33" t="s">
        <v>1318</v>
      </c>
    </row>
    <row r="34" spans="1:18" x14ac:dyDescent="0.25">
      <c r="A34" t="s">
        <v>49</v>
      </c>
      <c r="B34" t="s">
        <v>477</v>
      </c>
      <c r="C34" t="s">
        <v>904</v>
      </c>
      <c r="D34" t="s">
        <v>1302</v>
      </c>
      <c r="E34">
        <v>3</v>
      </c>
      <c r="F34">
        <v>1625</v>
      </c>
      <c r="G34">
        <v>13000</v>
      </c>
      <c r="H34" s="1">
        <v>46188</v>
      </c>
      <c r="I34" s="1">
        <v>46153</v>
      </c>
      <c r="J34">
        <v>15000</v>
      </c>
      <c r="K34">
        <v>4500</v>
      </c>
      <c r="L34">
        <v>19500</v>
      </c>
      <c r="M34">
        <v>10000</v>
      </c>
      <c r="N34">
        <v>3000</v>
      </c>
      <c r="O34">
        <v>1625</v>
      </c>
      <c r="P34">
        <v>1625</v>
      </c>
      <c r="Q34" s="10">
        <f t="shared" si="0"/>
        <v>1625</v>
      </c>
      <c r="R34" t="s">
        <v>1318</v>
      </c>
    </row>
    <row r="35" spans="1:18" x14ac:dyDescent="0.25">
      <c r="A35" t="s">
        <v>50</v>
      </c>
      <c r="B35" t="s">
        <v>478</v>
      </c>
      <c r="C35" t="s">
        <v>905</v>
      </c>
      <c r="D35" t="s">
        <v>1302</v>
      </c>
      <c r="E35">
        <v>1</v>
      </c>
      <c r="F35">
        <v>1077</v>
      </c>
      <c r="G35">
        <v>9745</v>
      </c>
      <c r="H35" s="1">
        <v>46190</v>
      </c>
      <c r="I35" s="1">
        <v>46162</v>
      </c>
      <c r="J35">
        <v>10000</v>
      </c>
      <c r="K35">
        <v>3000</v>
      </c>
      <c r="L35">
        <v>13000</v>
      </c>
      <c r="M35">
        <v>7501</v>
      </c>
      <c r="N35">
        <v>2244</v>
      </c>
      <c r="O35">
        <v>1083</v>
      </c>
      <c r="P35">
        <v>1077</v>
      </c>
      <c r="Q35" s="10">
        <f t="shared" si="0"/>
        <v>1077</v>
      </c>
      <c r="R35" t="s">
        <v>1318</v>
      </c>
    </row>
    <row r="36" spans="1:18" x14ac:dyDescent="0.25">
      <c r="A36" t="s">
        <v>51</v>
      </c>
      <c r="B36" t="s">
        <v>479</v>
      </c>
      <c r="C36" t="s">
        <v>906</v>
      </c>
      <c r="D36" t="s">
        <v>1302</v>
      </c>
      <c r="E36">
        <v>22</v>
      </c>
      <c r="F36">
        <v>8668</v>
      </c>
      <c r="G36">
        <v>26000</v>
      </c>
      <c r="H36" s="1">
        <v>46169</v>
      </c>
      <c r="I36" s="1">
        <v>46162</v>
      </c>
      <c r="J36">
        <v>20000</v>
      </c>
      <c r="K36">
        <v>6000</v>
      </c>
      <c r="L36">
        <v>26000</v>
      </c>
      <c r="M36">
        <v>20000</v>
      </c>
      <c r="N36">
        <v>6000</v>
      </c>
      <c r="O36">
        <v>2167</v>
      </c>
      <c r="P36">
        <v>8668</v>
      </c>
      <c r="Q36" s="10">
        <f t="shared" si="0"/>
        <v>8668</v>
      </c>
      <c r="R36" t="s">
        <v>1318</v>
      </c>
    </row>
    <row r="37" spans="1:18" x14ac:dyDescent="0.25">
      <c r="A37" t="s">
        <v>52</v>
      </c>
      <c r="B37" t="s">
        <v>480</v>
      </c>
      <c r="C37" t="s">
        <v>907</v>
      </c>
      <c r="D37" t="s">
        <v>1303</v>
      </c>
      <c r="E37">
        <v>8</v>
      </c>
      <c r="F37">
        <v>28440</v>
      </c>
      <c r="G37">
        <v>285695</v>
      </c>
      <c r="H37" s="1">
        <v>46183</v>
      </c>
      <c r="I37" s="1">
        <v>45726</v>
      </c>
      <c r="J37">
        <v>350000</v>
      </c>
      <c r="K37">
        <v>336000</v>
      </c>
      <c r="L37">
        <v>686000</v>
      </c>
      <c r="M37">
        <v>145838</v>
      </c>
      <c r="N37">
        <v>139857</v>
      </c>
      <c r="O37">
        <v>28583</v>
      </c>
      <c r="P37">
        <v>28440</v>
      </c>
      <c r="Q37" s="10">
        <f t="shared" si="0"/>
        <v>28440</v>
      </c>
      <c r="R37" t="s">
        <v>1318</v>
      </c>
    </row>
    <row r="38" spans="1:18" x14ac:dyDescent="0.25">
      <c r="A38" t="s">
        <v>53</v>
      </c>
      <c r="B38" t="s">
        <v>481</v>
      </c>
      <c r="C38" t="s">
        <v>908</v>
      </c>
      <c r="D38" t="s">
        <v>1302</v>
      </c>
      <c r="E38">
        <v>1</v>
      </c>
      <c r="F38">
        <v>1064</v>
      </c>
      <c r="G38">
        <v>5400</v>
      </c>
      <c r="H38" s="1">
        <v>46190</v>
      </c>
      <c r="I38" s="1">
        <v>46134</v>
      </c>
      <c r="J38">
        <v>10000</v>
      </c>
      <c r="K38">
        <v>3000</v>
      </c>
      <c r="L38">
        <v>13000</v>
      </c>
      <c r="M38">
        <v>4169</v>
      </c>
      <c r="N38">
        <v>1231</v>
      </c>
      <c r="O38">
        <v>1083</v>
      </c>
      <c r="P38">
        <v>1064</v>
      </c>
      <c r="Q38" s="10">
        <f t="shared" si="0"/>
        <v>1064</v>
      </c>
      <c r="R38" t="s">
        <v>1318</v>
      </c>
    </row>
    <row r="39" spans="1:18" x14ac:dyDescent="0.25">
      <c r="A39" t="s">
        <v>54</v>
      </c>
      <c r="B39" t="s">
        <v>482</v>
      </c>
      <c r="C39" t="s">
        <v>909</v>
      </c>
      <c r="D39" t="s">
        <v>1302</v>
      </c>
      <c r="E39">
        <v>8</v>
      </c>
      <c r="F39">
        <v>2081</v>
      </c>
      <c r="G39">
        <v>7500</v>
      </c>
      <c r="H39" s="1">
        <v>46183</v>
      </c>
      <c r="I39" s="1">
        <v>46141</v>
      </c>
      <c r="J39">
        <v>10000</v>
      </c>
      <c r="K39">
        <v>3000</v>
      </c>
      <c r="L39">
        <v>13000</v>
      </c>
      <c r="M39">
        <v>5835</v>
      </c>
      <c r="N39">
        <v>1665</v>
      </c>
      <c r="O39">
        <v>1083</v>
      </c>
      <c r="P39">
        <v>2081</v>
      </c>
      <c r="Q39" s="10">
        <f t="shared" si="0"/>
        <v>2081</v>
      </c>
      <c r="R39" t="s">
        <v>1318</v>
      </c>
    </row>
    <row r="40" spans="1:18" x14ac:dyDescent="0.25">
      <c r="A40" t="s">
        <v>55</v>
      </c>
      <c r="B40" t="s">
        <v>483</v>
      </c>
      <c r="C40" t="s">
        <v>910</v>
      </c>
      <c r="D40" t="s">
        <v>1302</v>
      </c>
      <c r="E40">
        <v>8</v>
      </c>
      <c r="F40">
        <v>2081</v>
      </c>
      <c r="G40">
        <v>7500</v>
      </c>
      <c r="H40" s="1">
        <v>46183</v>
      </c>
      <c r="I40" s="1">
        <v>46141</v>
      </c>
      <c r="J40">
        <v>10000</v>
      </c>
      <c r="K40">
        <v>3000</v>
      </c>
      <c r="L40">
        <v>13000</v>
      </c>
      <c r="M40">
        <v>5835</v>
      </c>
      <c r="N40">
        <v>1665</v>
      </c>
      <c r="O40">
        <v>1083</v>
      </c>
      <c r="P40">
        <v>2081</v>
      </c>
      <c r="Q40" s="10">
        <f t="shared" si="0"/>
        <v>2081</v>
      </c>
      <c r="R40" t="s">
        <v>1318</v>
      </c>
    </row>
    <row r="41" spans="1:18" x14ac:dyDescent="0.25">
      <c r="A41" t="s">
        <v>56</v>
      </c>
      <c r="B41" t="s">
        <v>484</v>
      </c>
      <c r="C41" t="s">
        <v>911</v>
      </c>
      <c r="D41" t="s">
        <v>1301</v>
      </c>
      <c r="E41">
        <v>29</v>
      </c>
      <c r="F41">
        <v>1800</v>
      </c>
      <c r="G41">
        <v>1800</v>
      </c>
      <c r="H41" s="1">
        <v>46162</v>
      </c>
      <c r="I41" s="1">
        <v>46141</v>
      </c>
      <c r="J41">
        <v>5000</v>
      </c>
      <c r="K41">
        <v>1000</v>
      </c>
      <c r="L41">
        <v>6000</v>
      </c>
      <c r="M41">
        <v>1550</v>
      </c>
      <c r="N41">
        <v>250</v>
      </c>
      <c r="O41">
        <v>1500</v>
      </c>
      <c r="P41">
        <v>1800</v>
      </c>
      <c r="Q41" s="10">
        <f t="shared" si="0"/>
        <v>1800</v>
      </c>
      <c r="R41" t="s">
        <v>1318</v>
      </c>
    </row>
    <row r="42" spans="1:18" x14ac:dyDescent="0.25">
      <c r="A42" t="s">
        <v>57</v>
      </c>
      <c r="B42" t="s">
        <v>485</v>
      </c>
      <c r="C42" t="s">
        <v>912</v>
      </c>
      <c r="D42" t="s">
        <v>1302</v>
      </c>
      <c r="E42">
        <v>1</v>
      </c>
      <c r="F42">
        <v>798</v>
      </c>
      <c r="G42">
        <v>7300</v>
      </c>
      <c r="H42" s="1">
        <v>46190</v>
      </c>
      <c r="I42" s="1">
        <v>46148</v>
      </c>
      <c r="J42">
        <v>10000</v>
      </c>
      <c r="K42">
        <v>3000</v>
      </c>
      <c r="L42">
        <v>13000</v>
      </c>
      <c r="M42">
        <v>5800</v>
      </c>
      <c r="N42">
        <v>1500</v>
      </c>
      <c r="O42">
        <v>1083</v>
      </c>
      <c r="P42">
        <v>798</v>
      </c>
      <c r="Q42" s="10">
        <f t="shared" si="0"/>
        <v>798</v>
      </c>
      <c r="R42" t="s">
        <v>1318</v>
      </c>
    </row>
    <row r="43" spans="1:18" x14ac:dyDescent="0.25">
      <c r="A43" t="s">
        <v>58</v>
      </c>
      <c r="B43" t="s">
        <v>486</v>
      </c>
      <c r="C43" t="s">
        <v>913</v>
      </c>
      <c r="D43" t="s">
        <v>1299</v>
      </c>
      <c r="E43">
        <v>7</v>
      </c>
      <c r="F43">
        <v>6049</v>
      </c>
      <c r="G43">
        <v>15150</v>
      </c>
      <c r="H43" s="1">
        <v>46184</v>
      </c>
      <c r="I43" s="1">
        <v>46170</v>
      </c>
      <c r="J43">
        <v>14000</v>
      </c>
      <c r="K43">
        <v>4200</v>
      </c>
      <c r="L43">
        <v>18200</v>
      </c>
      <c r="M43">
        <v>11667</v>
      </c>
      <c r="N43">
        <v>3483</v>
      </c>
      <c r="O43">
        <v>3033</v>
      </c>
      <c r="P43">
        <v>6049</v>
      </c>
      <c r="Q43" s="10">
        <f t="shared" si="0"/>
        <v>6049</v>
      </c>
      <c r="R43" t="s">
        <v>1318</v>
      </c>
    </row>
    <row r="44" spans="1:18" x14ac:dyDescent="0.25">
      <c r="A44" t="s">
        <v>59</v>
      </c>
      <c r="B44" t="s">
        <v>487</v>
      </c>
      <c r="C44" t="s">
        <v>914</v>
      </c>
      <c r="D44" t="s">
        <v>1300</v>
      </c>
      <c r="E44">
        <v>7</v>
      </c>
      <c r="F44">
        <v>6000</v>
      </c>
      <c r="G44">
        <v>12000</v>
      </c>
      <c r="H44" s="1">
        <v>46184</v>
      </c>
      <c r="I44" s="1">
        <v>46177</v>
      </c>
      <c r="J44">
        <v>10000</v>
      </c>
      <c r="K44">
        <v>2000</v>
      </c>
      <c r="L44">
        <v>12000</v>
      </c>
      <c r="M44">
        <v>10000</v>
      </c>
      <c r="N44">
        <v>2000</v>
      </c>
      <c r="O44">
        <v>3000</v>
      </c>
      <c r="P44">
        <v>6000</v>
      </c>
      <c r="Q44" s="10">
        <f t="shared" si="0"/>
        <v>6000</v>
      </c>
      <c r="R44" t="s">
        <v>1318</v>
      </c>
    </row>
    <row r="45" spans="1:18" x14ac:dyDescent="0.25">
      <c r="A45" t="s">
        <v>73</v>
      </c>
      <c r="B45" t="s">
        <v>500</v>
      </c>
      <c r="C45" t="s">
        <v>927</v>
      </c>
      <c r="D45" t="s">
        <v>1309</v>
      </c>
      <c r="E45">
        <v>21</v>
      </c>
      <c r="F45">
        <v>920</v>
      </c>
      <c r="G45">
        <v>920</v>
      </c>
      <c r="H45" s="1">
        <v>46170</v>
      </c>
      <c r="I45" s="1">
        <v>46037</v>
      </c>
      <c r="J45">
        <v>10000</v>
      </c>
      <c r="K45">
        <v>5000</v>
      </c>
      <c r="L45">
        <v>15000</v>
      </c>
      <c r="M45">
        <v>670</v>
      </c>
      <c r="N45">
        <v>250</v>
      </c>
      <c r="O45">
        <v>750</v>
      </c>
      <c r="P45">
        <v>920</v>
      </c>
      <c r="Q45" s="10">
        <f t="shared" si="0"/>
        <v>920</v>
      </c>
      <c r="R45" t="s">
        <v>1320</v>
      </c>
    </row>
    <row r="46" spans="1:18" x14ac:dyDescent="0.25">
      <c r="A46" t="s">
        <v>74</v>
      </c>
      <c r="B46" t="s">
        <v>501</v>
      </c>
      <c r="C46" t="s">
        <v>928</v>
      </c>
      <c r="D46" t="s">
        <v>1309</v>
      </c>
      <c r="E46">
        <v>15</v>
      </c>
      <c r="F46">
        <v>1842</v>
      </c>
      <c r="G46">
        <v>3835</v>
      </c>
      <c r="H46" s="1">
        <v>46176</v>
      </c>
      <c r="I46" s="1">
        <v>46043</v>
      </c>
      <c r="J46">
        <v>10000</v>
      </c>
      <c r="K46">
        <v>6000</v>
      </c>
      <c r="L46">
        <v>16000</v>
      </c>
      <c r="M46">
        <v>2494</v>
      </c>
      <c r="N46">
        <v>1341</v>
      </c>
      <c r="O46">
        <v>667</v>
      </c>
      <c r="P46">
        <v>1842</v>
      </c>
      <c r="Q46" s="10">
        <f t="shared" si="0"/>
        <v>1842</v>
      </c>
      <c r="R46" t="s">
        <v>1320</v>
      </c>
    </row>
    <row r="47" spans="1:18" x14ac:dyDescent="0.25">
      <c r="A47" t="s">
        <v>75</v>
      </c>
      <c r="B47" t="s">
        <v>502</v>
      </c>
      <c r="C47" t="s">
        <v>929</v>
      </c>
      <c r="D47" t="s">
        <v>1302</v>
      </c>
      <c r="E47">
        <v>6</v>
      </c>
      <c r="F47">
        <v>73</v>
      </c>
      <c r="G47">
        <v>3400</v>
      </c>
      <c r="H47" s="1">
        <v>46185</v>
      </c>
      <c r="I47" s="1">
        <v>46052</v>
      </c>
      <c r="J47">
        <v>10000</v>
      </c>
      <c r="K47">
        <v>6000</v>
      </c>
      <c r="L47">
        <v>16000</v>
      </c>
      <c r="M47">
        <v>2150</v>
      </c>
      <c r="N47">
        <v>1250</v>
      </c>
      <c r="O47">
        <v>667</v>
      </c>
      <c r="P47">
        <v>73</v>
      </c>
      <c r="Q47" s="10">
        <f t="shared" si="0"/>
        <v>73</v>
      </c>
      <c r="R47" t="s">
        <v>1320</v>
      </c>
    </row>
    <row r="48" spans="1:18" x14ac:dyDescent="0.25">
      <c r="A48" t="s">
        <v>76</v>
      </c>
      <c r="B48" t="s">
        <v>503</v>
      </c>
      <c r="C48" t="s">
        <v>930</v>
      </c>
      <c r="D48" t="s">
        <v>1302</v>
      </c>
      <c r="E48">
        <v>14</v>
      </c>
      <c r="F48">
        <v>2300</v>
      </c>
      <c r="G48">
        <v>7300</v>
      </c>
      <c r="H48" s="1">
        <v>46177</v>
      </c>
      <c r="I48" s="1">
        <v>46058</v>
      </c>
      <c r="J48">
        <v>15000</v>
      </c>
      <c r="K48">
        <v>9000</v>
      </c>
      <c r="L48">
        <v>24000</v>
      </c>
      <c r="M48">
        <v>4675</v>
      </c>
      <c r="N48">
        <v>2625</v>
      </c>
      <c r="O48">
        <v>1000</v>
      </c>
      <c r="P48">
        <v>2300</v>
      </c>
      <c r="Q48" s="10">
        <f t="shared" si="0"/>
        <v>2300</v>
      </c>
      <c r="R48" t="s">
        <v>1320</v>
      </c>
    </row>
    <row r="49" spans="1:18" x14ac:dyDescent="0.25">
      <c r="A49" t="s">
        <v>77</v>
      </c>
      <c r="B49" t="s">
        <v>504</v>
      </c>
      <c r="C49" t="s">
        <v>931</v>
      </c>
      <c r="D49" t="s">
        <v>1302</v>
      </c>
      <c r="E49">
        <v>3</v>
      </c>
      <c r="F49">
        <v>631</v>
      </c>
      <c r="G49">
        <v>7960</v>
      </c>
      <c r="H49" s="1">
        <v>46188</v>
      </c>
      <c r="I49" s="1">
        <v>46097</v>
      </c>
      <c r="J49">
        <v>10000</v>
      </c>
      <c r="K49">
        <v>6000</v>
      </c>
      <c r="L49">
        <v>16000</v>
      </c>
      <c r="M49">
        <v>4996</v>
      </c>
      <c r="N49">
        <v>2964</v>
      </c>
      <c r="O49">
        <v>667</v>
      </c>
      <c r="P49">
        <v>631</v>
      </c>
      <c r="Q49" s="10">
        <f t="shared" si="0"/>
        <v>631</v>
      </c>
      <c r="R49" t="s">
        <v>1320</v>
      </c>
    </row>
    <row r="50" spans="1:18" x14ac:dyDescent="0.25">
      <c r="A50" t="s">
        <v>78</v>
      </c>
      <c r="B50" t="s">
        <v>505</v>
      </c>
      <c r="C50" t="s">
        <v>932</v>
      </c>
      <c r="D50" t="s">
        <v>1300</v>
      </c>
      <c r="E50">
        <v>24</v>
      </c>
      <c r="F50">
        <v>330</v>
      </c>
      <c r="G50">
        <v>330</v>
      </c>
      <c r="H50" s="1">
        <v>46167</v>
      </c>
      <c r="I50" s="1">
        <v>46125</v>
      </c>
      <c r="J50">
        <v>10000</v>
      </c>
      <c r="K50">
        <v>3000</v>
      </c>
      <c r="L50">
        <v>13000</v>
      </c>
      <c r="M50">
        <v>330</v>
      </c>
      <c r="N50">
        <v>0</v>
      </c>
      <c r="O50">
        <v>2167</v>
      </c>
      <c r="P50">
        <v>330</v>
      </c>
      <c r="Q50" s="10">
        <f t="shared" si="0"/>
        <v>330</v>
      </c>
      <c r="R50" t="s">
        <v>1320</v>
      </c>
    </row>
    <row r="51" spans="1:18" x14ac:dyDescent="0.25">
      <c r="A51" t="s">
        <v>79</v>
      </c>
      <c r="B51" t="s">
        <v>506</v>
      </c>
      <c r="C51" t="s">
        <v>933</v>
      </c>
      <c r="D51" t="s">
        <v>1300</v>
      </c>
      <c r="E51">
        <v>22</v>
      </c>
      <c r="F51">
        <v>7200</v>
      </c>
      <c r="G51">
        <v>7200</v>
      </c>
      <c r="H51" s="1">
        <v>46169</v>
      </c>
      <c r="I51" s="1">
        <v>46148</v>
      </c>
      <c r="J51">
        <v>10000</v>
      </c>
      <c r="K51">
        <v>3000</v>
      </c>
      <c r="L51">
        <v>13000</v>
      </c>
      <c r="M51">
        <v>5700</v>
      </c>
      <c r="N51">
        <v>1500</v>
      </c>
      <c r="O51">
        <v>2167</v>
      </c>
      <c r="P51">
        <v>7200</v>
      </c>
      <c r="Q51" s="10">
        <f t="shared" si="0"/>
        <v>7200</v>
      </c>
      <c r="R51" t="s">
        <v>1320</v>
      </c>
    </row>
    <row r="52" spans="1:18" x14ac:dyDescent="0.25">
      <c r="A52" t="s">
        <v>80</v>
      </c>
      <c r="B52" t="s">
        <v>507</v>
      </c>
      <c r="C52" t="s">
        <v>934</v>
      </c>
      <c r="D52" t="s">
        <v>1300</v>
      </c>
      <c r="E52">
        <v>7</v>
      </c>
      <c r="F52">
        <v>1694</v>
      </c>
      <c r="G52">
        <v>4934</v>
      </c>
      <c r="H52" s="1">
        <v>46184</v>
      </c>
      <c r="I52" s="1">
        <v>46149</v>
      </c>
      <c r="J52">
        <v>9000</v>
      </c>
      <c r="K52">
        <v>3960</v>
      </c>
      <c r="L52">
        <v>12960</v>
      </c>
      <c r="M52">
        <v>3449</v>
      </c>
      <c r="N52">
        <v>1485</v>
      </c>
      <c r="O52">
        <v>1620</v>
      </c>
      <c r="P52">
        <v>1694</v>
      </c>
      <c r="Q52" s="10">
        <f t="shared" si="0"/>
        <v>1694</v>
      </c>
      <c r="R52" t="s">
        <v>1320</v>
      </c>
    </row>
    <row r="53" spans="1:18" x14ac:dyDescent="0.25">
      <c r="A53" t="s">
        <v>81</v>
      </c>
      <c r="B53" t="s">
        <v>508</v>
      </c>
      <c r="C53" t="s">
        <v>935</v>
      </c>
      <c r="D53" t="s">
        <v>1300</v>
      </c>
      <c r="E53">
        <v>2</v>
      </c>
      <c r="F53">
        <v>1505</v>
      </c>
      <c r="G53">
        <v>3340</v>
      </c>
      <c r="H53" s="1">
        <v>46189</v>
      </c>
      <c r="I53" s="1">
        <v>46154</v>
      </c>
      <c r="J53">
        <v>8000</v>
      </c>
      <c r="K53">
        <v>3000</v>
      </c>
      <c r="L53">
        <v>11000</v>
      </c>
      <c r="M53">
        <v>2668</v>
      </c>
      <c r="N53">
        <v>672</v>
      </c>
      <c r="O53">
        <v>1833</v>
      </c>
      <c r="P53">
        <v>1505</v>
      </c>
      <c r="Q53" s="10">
        <f t="shared" si="0"/>
        <v>1505</v>
      </c>
      <c r="R53" t="s">
        <v>1320</v>
      </c>
    </row>
    <row r="54" spans="1:18" x14ac:dyDescent="0.25">
      <c r="A54" t="s">
        <v>82</v>
      </c>
      <c r="B54" t="s">
        <v>509</v>
      </c>
      <c r="C54" t="s">
        <v>936</v>
      </c>
      <c r="D54" t="s">
        <v>1299</v>
      </c>
      <c r="E54">
        <v>3</v>
      </c>
      <c r="F54">
        <v>1930</v>
      </c>
      <c r="G54">
        <v>11730</v>
      </c>
      <c r="H54" s="1">
        <v>46188</v>
      </c>
      <c r="I54" s="1">
        <v>46160</v>
      </c>
      <c r="J54">
        <v>14000</v>
      </c>
      <c r="K54">
        <v>5600</v>
      </c>
      <c r="L54">
        <v>19600</v>
      </c>
      <c r="M54">
        <v>8750</v>
      </c>
      <c r="N54">
        <v>2980</v>
      </c>
      <c r="O54">
        <v>2450</v>
      </c>
      <c r="P54">
        <v>1930</v>
      </c>
      <c r="Q54" s="10">
        <f t="shared" si="0"/>
        <v>1930</v>
      </c>
      <c r="R54" t="s">
        <v>1320</v>
      </c>
    </row>
    <row r="55" spans="1:18" x14ac:dyDescent="0.25">
      <c r="A55" t="s">
        <v>83</v>
      </c>
      <c r="B55" t="s">
        <v>510</v>
      </c>
      <c r="C55" t="s">
        <v>937</v>
      </c>
      <c r="D55" t="s">
        <v>1300</v>
      </c>
      <c r="E55">
        <v>1</v>
      </c>
      <c r="F55">
        <v>1812</v>
      </c>
      <c r="G55">
        <v>5480</v>
      </c>
      <c r="H55" s="1">
        <v>46190</v>
      </c>
      <c r="I55" s="1">
        <v>46162</v>
      </c>
      <c r="J55">
        <v>8000</v>
      </c>
      <c r="K55">
        <v>3000</v>
      </c>
      <c r="L55">
        <v>11000</v>
      </c>
      <c r="M55">
        <v>4001</v>
      </c>
      <c r="N55">
        <v>1479</v>
      </c>
      <c r="O55">
        <v>1833</v>
      </c>
      <c r="P55">
        <v>1812</v>
      </c>
      <c r="Q55" s="10">
        <f t="shared" si="0"/>
        <v>1812</v>
      </c>
      <c r="R55" t="s">
        <v>1320</v>
      </c>
    </row>
    <row r="56" spans="1:18" x14ac:dyDescent="0.25">
      <c r="A56" t="s">
        <v>84</v>
      </c>
      <c r="B56" t="s">
        <v>511</v>
      </c>
      <c r="C56" t="s">
        <v>938</v>
      </c>
      <c r="D56" t="s">
        <v>1310</v>
      </c>
      <c r="E56">
        <v>2</v>
      </c>
      <c r="F56">
        <v>4900</v>
      </c>
      <c r="G56">
        <v>19750</v>
      </c>
      <c r="H56" s="1">
        <v>46189</v>
      </c>
      <c r="I56" s="1">
        <v>46168</v>
      </c>
      <c r="J56">
        <v>22000</v>
      </c>
      <c r="K56">
        <v>7700</v>
      </c>
      <c r="L56">
        <v>29700</v>
      </c>
      <c r="M56">
        <v>14666</v>
      </c>
      <c r="N56">
        <v>5084</v>
      </c>
      <c r="O56">
        <v>4950</v>
      </c>
      <c r="P56">
        <v>4900</v>
      </c>
      <c r="Q56" s="10">
        <f t="shared" si="0"/>
        <v>4900</v>
      </c>
      <c r="R56" t="s">
        <v>1320</v>
      </c>
    </row>
    <row r="57" spans="1:18" x14ac:dyDescent="0.25">
      <c r="A57" t="s">
        <v>85</v>
      </c>
      <c r="B57" t="s">
        <v>512</v>
      </c>
      <c r="C57" t="s">
        <v>939</v>
      </c>
      <c r="D57" t="s">
        <v>1300</v>
      </c>
      <c r="E57">
        <v>2</v>
      </c>
      <c r="F57">
        <v>785</v>
      </c>
      <c r="G57">
        <v>2780</v>
      </c>
      <c r="H57" s="1">
        <v>46189</v>
      </c>
      <c r="I57" s="1">
        <v>46168</v>
      </c>
      <c r="J57">
        <v>6000</v>
      </c>
      <c r="K57">
        <v>1980</v>
      </c>
      <c r="L57">
        <v>7980</v>
      </c>
      <c r="M57">
        <v>2285</v>
      </c>
      <c r="N57">
        <v>495</v>
      </c>
      <c r="O57">
        <v>1995</v>
      </c>
      <c r="P57">
        <v>785</v>
      </c>
      <c r="Q57" s="10">
        <f t="shared" si="0"/>
        <v>785</v>
      </c>
      <c r="R57" t="s">
        <v>1320</v>
      </c>
    </row>
    <row r="58" spans="1:18" x14ac:dyDescent="0.25">
      <c r="A58" t="s">
        <v>86</v>
      </c>
      <c r="B58" t="s">
        <v>513</v>
      </c>
      <c r="C58" t="s">
        <v>940</v>
      </c>
      <c r="D58" t="s">
        <v>1300</v>
      </c>
      <c r="E58">
        <v>2</v>
      </c>
      <c r="F58">
        <v>1501</v>
      </c>
      <c r="G58">
        <v>8000</v>
      </c>
      <c r="H58" s="1">
        <v>46189</v>
      </c>
      <c r="I58" s="1">
        <v>46168</v>
      </c>
      <c r="J58">
        <v>10000</v>
      </c>
      <c r="K58">
        <v>3000</v>
      </c>
      <c r="L58">
        <v>13000</v>
      </c>
      <c r="M58">
        <v>6500</v>
      </c>
      <c r="N58">
        <v>1500</v>
      </c>
      <c r="O58">
        <v>2167</v>
      </c>
      <c r="P58">
        <v>1501</v>
      </c>
      <c r="Q58" s="10">
        <f t="shared" si="0"/>
        <v>1501</v>
      </c>
      <c r="R58" t="s">
        <v>1320</v>
      </c>
    </row>
    <row r="59" spans="1:18" x14ac:dyDescent="0.25">
      <c r="A59" t="s">
        <v>87</v>
      </c>
      <c r="B59" t="s">
        <v>514</v>
      </c>
      <c r="C59" t="s">
        <v>941</v>
      </c>
      <c r="D59" t="s">
        <v>1300</v>
      </c>
      <c r="E59">
        <v>2</v>
      </c>
      <c r="F59">
        <v>500</v>
      </c>
      <c r="G59">
        <v>6500</v>
      </c>
      <c r="H59" s="1">
        <v>46189</v>
      </c>
      <c r="I59" s="1">
        <v>46175</v>
      </c>
      <c r="J59">
        <v>10000</v>
      </c>
      <c r="K59">
        <v>2000</v>
      </c>
      <c r="L59">
        <v>12000</v>
      </c>
      <c r="M59">
        <v>5500</v>
      </c>
      <c r="N59">
        <v>1000</v>
      </c>
      <c r="O59">
        <v>3000</v>
      </c>
      <c r="P59">
        <v>500</v>
      </c>
      <c r="Q59" s="10">
        <f t="shared" si="0"/>
        <v>500</v>
      </c>
      <c r="R59" t="s">
        <v>1320</v>
      </c>
    </row>
    <row r="60" spans="1:18" x14ac:dyDescent="0.25">
      <c r="A60" t="s">
        <v>88</v>
      </c>
      <c r="B60" t="s">
        <v>515</v>
      </c>
      <c r="C60" t="s">
        <v>942</v>
      </c>
      <c r="D60" t="s">
        <v>1300</v>
      </c>
      <c r="E60">
        <v>2</v>
      </c>
      <c r="F60">
        <v>668</v>
      </c>
      <c r="G60">
        <v>7340</v>
      </c>
      <c r="H60" s="1">
        <v>46189</v>
      </c>
      <c r="I60" s="1">
        <v>46175</v>
      </c>
      <c r="J60">
        <v>7000</v>
      </c>
      <c r="K60">
        <v>3010</v>
      </c>
      <c r="L60">
        <v>10010</v>
      </c>
      <c r="M60">
        <v>5334</v>
      </c>
      <c r="N60">
        <v>2006</v>
      </c>
      <c r="O60">
        <v>1669</v>
      </c>
      <c r="P60">
        <v>668</v>
      </c>
      <c r="Q60" s="10">
        <f t="shared" si="0"/>
        <v>668</v>
      </c>
      <c r="R60" t="s">
        <v>1320</v>
      </c>
    </row>
    <row r="61" spans="1:18" x14ac:dyDescent="0.25">
      <c r="A61" t="s">
        <v>89</v>
      </c>
      <c r="B61" t="s">
        <v>516</v>
      </c>
      <c r="C61" t="s">
        <v>943</v>
      </c>
      <c r="D61" t="s">
        <v>1300</v>
      </c>
      <c r="E61">
        <v>1</v>
      </c>
      <c r="F61">
        <v>2164</v>
      </c>
      <c r="G61">
        <v>10830</v>
      </c>
      <c r="H61" s="1">
        <v>46190</v>
      </c>
      <c r="I61" s="1">
        <v>46176</v>
      </c>
      <c r="J61">
        <v>10000</v>
      </c>
      <c r="K61">
        <v>3000</v>
      </c>
      <c r="L61">
        <v>13000</v>
      </c>
      <c r="M61">
        <v>8333</v>
      </c>
      <c r="N61">
        <v>2497</v>
      </c>
      <c r="O61">
        <v>2167</v>
      </c>
      <c r="P61">
        <v>2164</v>
      </c>
      <c r="Q61" s="10">
        <f t="shared" si="0"/>
        <v>2164</v>
      </c>
      <c r="R61" t="s">
        <v>1320</v>
      </c>
    </row>
    <row r="62" spans="1:18" x14ac:dyDescent="0.25">
      <c r="A62" t="s">
        <v>90</v>
      </c>
      <c r="B62" t="s">
        <v>517</v>
      </c>
      <c r="C62" t="s">
        <v>944</v>
      </c>
      <c r="D62" t="s">
        <v>1300</v>
      </c>
      <c r="E62">
        <v>3</v>
      </c>
      <c r="F62">
        <v>633</v>
      </c>
      <c r="G62">
        <v>9800</v>
      </c>
      <c r="H62" s="1">
        <v>46188</v>
      </c>
      <c r="I62" s="1">
        <v>46181</v>
      </c>
      <c r="J62">
        <v>8000</v>
      </c>
      <c r="K62">
        <v>3000</v>
      </c>
      <c r="L62">
        <v>11000</v>
      </c>
      <c r="M62">
        <v>7300</v>
      </c>
      <c r="N62">
        <v>2500</v>
      </c>
      <c r="O62">
        <v>1833</v>
      </c>
      <c r="P62">
        <v>633</v>
      </c>
      <c r="Q62" s="10">
        <f t="shared" si="0"/>
        <v>633</v>
      </c>
      <c r="R62" t="s">
        <v>1320</v>
      </c>
    </row>
    <row r="63" spans="1:18" x14ac:dyDescent="0.25">
      <c r="A63" t="s">
        <v>91</v>
      </c>
      <c r="B63" t="s">
        <v>518</v>
      </c>
      <c r="C63" t="s">
        <v>945</v>
      </c>
      <c r="D63" t="s">
        <v>1309</v>
      </c>
      <c r="E63">
        <v>29</v>
      </c>
      <c r="F63">
        <v>1200</v>
      </c>
      <c r="G63">
        <v>1200</v>
      </c>
      <c r="H63" s="1">
        <v>46162</v>
      </c>
      <c r="I63" s="1">
        <v>45994</v>
      </c>
      <c r="J63">
        <v>20000</v>
      </c>
      <c r="K63">
        <v>12000</v>
      </c>
      <c r="L63">
        <v>32000</v>
      </c>
      <c r="M63">
        <v>841</v>
      </c>
      <c r="N63">
        <v>359</v>
      </c>
      <c r="O63">
        <v>1333</v>
      </c>
      <c r="P63">
        <v>1200</v>
      </c>
      <c r="Q63" s="10">
        <f t="shared" si="0"/>
        <v>1200</v>
      </c>
      <c r="R63" t="s">
        <v>1320</v>
      </c>
    </row>
    <row r="64" spans="1:18" x14ac:dyDescent="0.25">
      <c r="A64" t="s">
        <v>92</v>
      </c>
      <c r="B64" t="s">
        <v>519</v>
      </c>
      <c r="C64" t="s">
        <v>946</v>
      </c>
      <c r="D64" t="s">
        <v>1309</v>
      </c>
      <c r="E64">
        <v>29</v>
      </c>
      <c r="F64">
        <v>2925</v>
      </c>
      <c r="G64">
        <v>2925</v>
      </c>
      <c r="H64" s="1">
        <v>46162</v>
      </c>
      <c r="I64" s="1">
        <v>46008</v>
      </c>
      <c r="J64">
        <v>15000</v>
      </c>
      <c r="K64">
        <v>9000</v>
      </c>
      <c r="L64">
        <v>24000</v>
      </c>
      <c r="M64">
        <v>1875</v>
      </c>
      <c r="N64">
        <v>1050</v>
      </c>
      <c r="O64">
        <v>1000</v>
      </c>
      <c r="P64">
        <v>2925</v>
      </c>
      <c r="Q64" s="10">
        <f t="shared" si="0"/>
        <v>2925</v>
      </c>
      <c r="R64" t="s">
        <v>1320</v>
      </c>
    </row>
    <row r="65" spans="1:18" x14ac:dyDescent="0.25">
      <c r="A65" t="s">
        <v>93</v>
      </c>
      <c r="B65" t="s">
        <v>520</v>
      </c>
      <c r="C65" t="s">
        <v>947</v>
      </c>
      <c r="D65" t="s">
        <v>1309</v>
      </c>
      <c r="E65">
        <v>15</v>
      </c>
      <c r="F65">
        <v>409</v>
      </c>
      <c r="G65">
        <v>409</v>
      </c>
      <c r="H65" s="1">
        <v>46176</v>
      </c>
      <c r="I65" s="1">
        <v>46008</v>
      </c>
      <c r="J65">
        <v>10000</v>
      </c>
      <c r="K65">
        <v>6000</v>
      </c>
      <c r="L65">
        <v>16000</v>
      </c>
      <c r="M65">
        <v>409</v>
      </c>
      <c r="N65">
        <v>0</v>
      </c>
      <c r="O65">
        <v>667</v>
      </c>
      <c r="P65">
        <v>409</v>
      </c>
      <c r="Q65" s="10">
        <f t="shared" si="0"/>
        <v>409</v>
      </c>
      <c r="R65" t="s">
        <v>1320</v>
      </c>
    </row>
    <row r="66" spans="1:18" x14ac:dyDescent="0.25">
      <c r="A66" t="s">
        <v>94</v>
      </c>
      <c r="B66" t="s">
        <v>521</v>
      </c>
      <c r="C66" t="s">
        <v>948</v>
      </c>
      <c r="D66" t="s">
        <v>1302</v>
      </c>
      <c r="E66">
        <v>1</v>
      </c>
      <c r="F66">
        <v>132</v>
      </c>
      <c r="G66">
        <v>5460</v>
      </c>
      <c r="H66" s="1">
        <v>46190</v>
      </c>
      <c r="I66" s="1">
        <v>46078</v>
      </c>
      <c r="J66">
        <v>10000</v>
      </c>
      <c r="K66">
        <v>6000</v>
      </c>
      <c r="L66">
        <v>16000</v>
      </c>
      <c r="M66">
        <v>3460</v>
      </c>
      <c r="N66">
        <v>2000</v>
      </c>
      <c r="O66">
        <v>667</v>
      </c>
      <c r="P66">
        <v>132</v>
      </c>
      <c r="Q66" s="10">
        <f t="shared" si="0"/>
        <v>132</v>
      </c>
      <c r="R66" t="s">
        <v>1320</v>
      </c>
    </row>
    <row r="67" spans="1:18" x14ac:dyDescent="0.25">
      <c r="A67" t="s">
        <v>95</v>
      </c>
      <c r="B67" t="s">
        <v>522</v>
      </c>
      <c r="C67" t="s">
        <v>949</v>
      </c>
      <c r="D67" t="s">
        <v>1302</v>
      </c>
      <c r="E67">
        <v>8</v>
      </c>
      <c r="F67">
        <v>1692</v>
      </c>
      <c r="G67">
        <v>15020</v>
      </c>
      <c r="H67" s="1">
        <v>46183</v>
      </c>
      <c r="I67" s="1">
        <v>46078</v>
      </c>
      <c r="J67">
        <v>25000</v>
      </c>
      <c r="K67">
        <v>15000</v>
      </c>
      <c r="L67">
        <v>40000</v>
      </c>
      <c r="M67">
        <v>9395</v>
      </c>
      <c r="N67">
        <v>5625</v>
      </c>
      <c r="O67">
        <v>1667</v>
      </c>
      <c r="P67">
        <v>1692</v>
      </c>
      <c r="Q67" s="10">
        <f t="shared" ref="Q67:Q130" si="1">P67</f>
        <v>1692</v>
      </c>
      <c r="R67" t="s">
        <v>1320</v>
      </c>
    </row>
    <row r="68" spans="1:18" x14ac:dyDescent="0.25">
      <c r="A68" t="s">
        <v>96</v>
      </c>
      <c r="B68" t="s">
        <v>523</v>
      </c>
      <c r="C68" t="s">
        <v>950</v>
      </c>
      <c r="D68" t="s">
        <v>1302</v>
      </c>
      <c r="E68">
        <v>7</v>
      </c>
      <c r="F68">
        <v>1952</v>
      </c>
      <c r="G68">
        <v>13290</v>
      </c>
      <c r="H68" s="1">
        <v>46184</v>
      </c>
      <c r="I68" s="1">
        <v>46093</v>
      </c>
      <c r="J68">
        <v>17000</v>
      </c>
      <c r="K68">
        <v>10200</v>
      </c>
      <c r="L68">
        <v>27200</v>
      </c>
      <c r="M68">
        <v>8504</v>
      </c>
      <c r="N68">
        <v>4786</v>
      </c>
      <c r="O68">
        <v>1133</v>
      </c>
      <c r="P68">
        <v>1952</v>
      </c>
      <c r="Q68" s="10">
        <f t="shared" si="1"/>
        <v>1952</v>
      </c>
      <c r="R68" t="s">
        <v>1320</v>
      </c>
    </row>
    <row r="69" spans="1:18" x14ac:dyDescent="0.25">
      <c r="A69" t="s">
        <v>97</v>
      </c>
      <c r="B69" t="s">
        <v>524</v>
      </c>
      <c r="C69" t="s">
        <v>951</v>
      </c>
      <c r="D69" t="s">
        <v>1302</v>
      </c>
      <c r="E69">
        <v>29</v>
      </c>
      <c r="F69">
        <v>2741</v>
      </c>
      <c r="G69">
        <v>10070</v>
      </c>
      <c r="H69" s="1">
        <v>46162</v>
      </c>
      <c r="I69" s="1">
        <v>46099</v>
      </c>
      <c r="J69">
        <v>10000</v>
      </c>
      <c r="K69">
        <v>6000</v>
      </c>
      <c r="L69">
        <v>16000</v>
      </c>
      <c r="M69">
        <v>6320</v>
      </c>
      <c r="N69">
        <v>3750</v>
      </c>
      <c r="O69">
        <v>667</v>
      </c>
      <c r="P69">
        <v>2741</v>
      </c>
      <c r="Q69" s="10">
        <f t="shared" si="1"/>
        <v>2741</v>
      </c>
      <c r="R69" t="s">
        <v>1320</v>
      </c>
    </row>
    <row r="70" spans="1:18" x14ac:dyDescent="0.25">
      <c r="A70" t="s">
        <v>98</v>
      </c>
      <c r="B70" t="s">
        <v>525</v>
      </c>
      <c r="C70" t="s">
        <v>952</v>
      </c>
      <c r="D70" t="s">
        <v>1302</v>
      </c>
      <c r="E70">
        <v>14</v>
      </c>
      <c r="F70">
        <v>1777</v>
      </c>
      <c r="G70">
        <v>10440</v>
      </c>
      <c r="H70" s="1">
        <v>46177</v>
      </c>
      <c r="I70" s="1">
        <v>46114</v>
      </c>
      <c r="J70">
        <v>10000</v>
      </c>
      <c r="K70">
        <v>6000</v>
      </c>
      <c r="L70">
        <v>16000</v>
      </c>
      <c r="M70">
        <v>6664</v>
      </c>
      <c r="N70">
        <v>3776</v>
      </c>
      <c r="O70">
        <v>667</v>
      </c>
      <c r="P70">
        <v>1777</v>
      </c>
      <c r="Q70" s="10">
        <f t="shared" si="1"/>
        <v>1777</v>
      </c>
      <c r="R70" t="s">
        <v>1320</v>
      </c>
    </row>
    <row r="71" spans="1:18" x14ac:dyDescent="0.25">
      <c r="A71" t="s">
        <v>99</v>
      </c>
      <c r="B71" t="s">
        <v>526</v>
      </c>
      <c r="C71" t="s">
        <v>953</v>
      </c>
      <c r="D71" t="s">
        <v>1302</v>
      </c>
      <c r="E71">
        <v>28</v>
      </c>
      <c r="F71">
        <v>2817</v>
      </c>
      <c r="G71">
        <v>11480</v>
      </c>
      <c r="H71" s="1">
        <v>46163</v>
      </c>
      <c r="I71" s="1">
        <v>46114</v>
      </c>
      <c r="J71">
        <v>10000</v>
      </c>
      <c r="K71">
        <v>6000</v>
      </c>
      <c r="L71">
        <v>16000</v>
      </c>
      <c r="M71">
        <v>7230</v>
      </c>
      <c r="N71">
        <v>4250</v>
      </c>
      <c r="O71">
        <v>667</v>
      </c>
      <c r="P71">
        <v>2817</v>
      </c>
      <c r="Q71" s="10">
        <f t="shared" si="1"/>
        <v>2817</v>
      </c>
      <c r="R71" t="s">
        <v>1320</v>
      </c>
    </row>
    <row r="72" spans="1:18" x14ac:dyDescent="0.25">
      <c r="A72" t="s">
        <v>100</v>
      </c>
      <c r="B72" t="s">
        <v>527</v>
      </c>
      <c r="C72" t="s">
        <v>954</v>
      </c>
      <c r="D72" t="s">
        <v>1302</v>
      </c>
      <c r="E72">
        <v>17</v>
      </c>
      <c r="F72">
        <v>1983</v>
      </c>
      <c r="G72">
        <v>11980</v>
      </c>
      <c r="H72" s="1">
        <v>46174</v>
      </c>
      <c r="I72" s="1">
        <v>46125</v>
      </c>
      <c r="J72">
        <v>10000</v>
      </c>
      <c r="K72">
        <v>6000</v>
      </c>
      <c r="L72">
        <v>16000</v>
      </c>
      <c r="M72">
        <v>7498</v>
      </c>
      <c r="N72">
        <v>4482</v>
      </c>
      <c r="O72">
        <v>667</v>
      </c>
      <c r="P72">
        <v>1983</v>
      </c>
      <c r="Q72" s="10">
        <f t="shared" si="1"/>
        <v>1983</v>
      </c>
      <c r="R72" t="s">
        <v>1320</v>
      </c>
    </row>
    <row r="73" spans="1:18" x14ac:dyDescent="0.25">
      <c r="A73" t="s">
        <v>101</v>
      </c>
      <c r="B73" t="s">
        <v>528</v>
      </c>
      <c r="C73" t="s">
        <v>955</v>
      </c>
      <c r="D73" t="s">
        <v>1302</v>
      </c>
      <c r="E73">
        <v>3</v>
      </c>
      <c r="F73">
        <v>23</v>
      </c>
      <c r="G73">
        <v>10020</v>
      </c>
      <c r="H73" s="1">
        <v>46188</v>
      </c>
      <c r="I73" s="1">
        <v>46125</v>
      </c>
      <c r="J73">
        <v>10000</v>
      </c>
      <c r="K73">
        <v>6000</v>
      </c>
      <c r="L73">
        <v>16000</v>
      </c>
      <c r="M73">
        <v>6270</v>
      </c>
      <c r="N73">
        <v>3750</v>
      </c>
      <c r="O73">
        <v>667</v>
      </c>
      <c r="P73">
        <v>23</v>
      </c>
      <c r="Q73" s="10">
        <f t="shared" si="1"/>
        <v>23</v>
      </c>
      <c r="R73" t="s">
        <v>1320</v>
      </c>
    </row>
    <row r="74" spans="1:18" x14ac:dyDescent="0.25">
      <c r="A74" t="s">
        <v>102</v>
      </c>
      <c r="B74" t="s">
        <v>529</v>
      </c>
      <c r="C74" t="s">
        <v>956</v>
      </c>
      <c r="D74" t="s">
        <v>1300</v>
      </c>
      <c r="E74">
        <v>10</v>
      </c>
      <c r="F74">
        <v>2265</v>
      </c>
      <c r="G74">
        <v>4430</v>
      </c>
      <c r="H74" s="1">
        <v>46181</v>
      </c>
      <c r="I74" s="1">
        <v>46153</v>
      </c>
      <c r="J74">
        <v>10000</v>
      </c>
      <c r="K74">
        <v>3000</v>
      </c>
      <c r="L74">
        <v>13000</v>
      </c>
      <c r="M74">
        <v>3430</v>
      </c>
      <c r="N74">
        <v>1000</v>
      </c>
      <c r="O74">
        <v>2167</v>
      </c>
      <c r="P74">
        <v>2265</v>
      </c>
      <c r="Q74" s="10">
        <f t="shared" si="1"/>
        <v>2265</v>
      </c>
      <c r="R74" t="s">
        <v>1320</v>
      </c>
    </row>
    <row r="75" spans="1:18" x14ac:dyDescent="0.25">
      <c r="A75" t="s">
        <v>103</v>
      </c>
      <c r="B75" t="s">
        <v>530</v>
      </c>
      <c r="C75" t="s">
        <v>957</v>
      </c>
      <c r="D75" t="s">
        <v>1300</v>
      </c>
      <c r="E75">
        <v>2</v>
      </c>
      <c r="F75">
        <v>500</v>
      </c>
      <c r="G75">
        <v>6500</v>
      </c>
      <c r="H75" s="1">
        <v>46189</v>
      </c>
      <c r="I75" s="1">
        <v>46175</v>
      </c>
      <c r="J75">
        <v>10000</v>
      </c>
      <c r="K75">
        <v>2000</v>
      </c>
      <c r="L75">
        <v>12000</v>
      </c>
      <c r="M75">
        <v>5500</v>
      </c>
      <c r="N75">
        <v>1000</v>
      </c>
      <c r="O75">
        <v>3000</v>
      </c>
      <c r="P75">
        <v>500</v>
      </c>
      <c r="Q75" s="10">
        <f t="shared" si="1"/>
        <v>500</v>
      </c>
      <c r="R75" t="s">
        <v>1320</v>
      </c>
    </row>
    <row r="76" spans="1:18" x14ac:dyDescent="0.25">
      <c r="A76" t="s">
        <v>104</v>
      </c>
      <c r="B76" t="s">
        <v>531</v>
      </c>
      <c r="C76" t="s">
        <v>958</v>
      </c>
      <c r="D76" t="s">
        <v>1299</v>
      </c>
      <c r="E76">
        <v>1</v>
      </c>
      <c r="F76">
        <v>3250</v>
      </c>
      <c r="G76">
        <v>16250</v>
      </c>
      <c r="H76" s="1">
        <v>46190</v>
      </c>
      <c r="I76" s="1">
        <v>46176</v>
      </c>
      <c r="J76">
        <v>15000</v>
      </c>
      <c r="K76">
        <v>4500</v>
      </c>
      <c r="L76">
        <v>19500</v>
      </c>
      <c r="M76">
        <v>12500</v>
      </c>
      <c r="N76">
        <v>3750</v>
      </c>
      <c r="O76">
        <v>3250</v>
      </c>
      <c r="P76">
        <v>3250</v>
      </c>
      <c r="Q76" s="10">
        <f t="shared" si="1"/>
        <v>3250</v>
      </c>
      <c r="R76" t="s">
        <v>1320</v>
      </c>
    </row>
    <row r="77" spans="1:18" x14ac:dyDescent="0.25">
      <c r="A77" t="s">
        <v>105</v>
      </c>
      <c r="B77" t="s">
        <v>532</v>
      </c>
      <c r="C77" t="s">
        <v>959</v>
      </c>
      <c r="D77" t="s">
        <v>1309</v>
      </c>
      <c r="E77">
        <v>8</v>
      </c>
      <c r="F77">
        <v>1037</v>
      </c>
      <c r="G77">
        <v>3030</v>
      </c>
      <c r="H77" s="1">
        <v>46183</v>
      </c>
      <c r="I77" s="1">
        <v>46043</v>
      </c>
      <c r="J77">
        <v>10000</v>
      </c>
      <c r="K77">
        <v>6000</v>
      </c>
      <c r="L77">
        <v>16000</v>
      </c>
      <c r="M77">
        <v>2030</v>
      </c>
      <c r="N77">
        <v>1000</v>
      </c>
      <c r="O77">
        <v>667</v>
      </c>
      <c r="P77">
        <v>1037</v>
      </c>
      <c r="Q77" s="10">
        <f t="shared" si="1"/>
        <v>1037</v>
      </c>
      <c r="R77" t="s">
        <v>1320</v>
      </c>
    </row>
    <row r="78" spans="1:18" x14ac:dyDescent="0.25">
      <c r="A78" t="s">
        <v>106</v>
      </c>
      <c r="B78" t="s">
        <v>533</v>
      </c>
      <c r="C78" t="s">
        <v>960</v>
      </c>
      <c r="D78" t="s">
        <v>1303</v>
      </c>
      <c r="E78">
        <v>6</v>
      </c>
      <c r="F78">
        <v>7322</v>
      </c>
      <c r="G78">
        <v>121990</v>
      </c>
      <c r="H78" s="1">
        <v>46185</v>
      </c>
      <c r="I78" s="1">
        <v>46065</v>
      </c>
      <c r="J78">
        <v>100000</v>
      </c>
      <c r="K78">
        <v>72000</v>
      </c>
      <c r="L78">
        <v>172000</v>
      </c>
      <c r="M78">
        <v>73990</v>
      </c>
      <c r="N78">
        <v>48000</v>
      </c>
      <c r="O78">
        <v>14333</v>
      </c>
      <c r="P78">
        <v>7322</v>
      </c>
      <c r="Q78" s="10">
        <f t="shared" si="1"/>
        <v>7322</v>
      </c>
      <c r="R78" t="s">
        <v>1320</v>
      </c>
    </row>
    <row r="79" spans="1:18" x14ac:dyDescent="0.25">
      <c r="A79" t="s">
        <v>107</v>
      </c>
      <c r="B79" t="s">
        <v>534</v>
      </c>
      <c r="C79" t="s">
        <v>961</v>
      </c>
      <c r="D79" t="s">
        <v>1300</v>
      </c>
      <c r="E79">
        <v>16</v>
      </c>
      <c r="F79">
        <v>4125</v>
      </c>
      <c r="G79">
        <v>4125</v>
      </c>
      <c r="H79" s="1">
        <v>46175</v>
      </c>
      <c r="I79" s="1">
        <v>46140</v>
      </c>
      <c r="J79">
        <v>10000</v>
      </c>
      <c r="K79">
        <v>3000</v>
      </c>
      <c r="L79">
        <v>13000</v>
      </c>
      <c r="M79">
        <v>3332</v>
      </c>
      <c r="N79">
        <v>793</v>
      </c>
      <c r="O79">
        <v>2167</v>
      </c>
      <c r="P79">
        <v>4125</v>
      </c>
      <c r="Q79" s="10">
        <f t="shared" si="1"/>
        <v>4125</v>
      </c>
      <c r="R79" t="s">
        <v>1320</v>
      </c>
    </row>
    <row r="80" spans="1:18" x14ac:dyDescent="0.25">
      <c r="A80" t="s">
        <v>108</v>
      </c>
      <c r="B80" t="s">
        <v>535</v>
      </c>
      <c r="C80" t="s">
        <v>962</v>
      </c>
      <c r="D80" t="s">
        <v>1311</v>
      </c>
      <c r="E80">
        <v>1</v>
      </c>
      <c r="F80">
        <v>4305</v>
      </c>
      <c r="G80">
        <v>8640</v>
      </c>
      <c r="H80" s="1">
        <v>46190</v>
      </c>
      <c r="I80" s="1">
        <v>46155</v>
      </c>
      <c r="J80">
        <v>20000</v>
      </c>
      <c r="K80">
        <v>6000</v>
      </c>
      <c r="L80">
        <v>26000</v>
      </c>
      <c r="M80">
        <v>6668</v>
      </c>
      <c r="N80">
        <v>1972</v>
      </c>
      <c r="O80">
        <v>4333</v>
      </c>
      <c r="P80">
        <v>4305</v>
      </c>
      <c r="Q80" s="10">
        <f t="shared" si="1"/>
        <v>4305</v>
      </c>
      <c r="R80" t="s">
        <v>1320</v>
      </c>
    </row>
    <row r="81" spans="1:18" x14ac:dyDescent="0.25">
      <c r="A81" t="s">
        <v>109</v>
      </c>
      <c r="B81" t="s">
        <v>536</v>
      </c>
      <c r="C81" t="s">
        <v>963</v>
      </c>
      <c r="D81" t="s">
        <v>1300</v>
      </c>
      <c r="E81">
        <v>3</v>
      </c>
      <c r="F81">
        <v>158</v>
      </c>
      <c r="G81">
        <v>4490</v>
      </c>
      <c r="H81" s="1">
        <v>46188</v>
      </c>
      <c r="I81" s="1">
        <v>46160</v>
      </c>
      <c r="J81">
        <v>10000</v>
      </c>
      <c r="K81">
        <v>3000</v>
      </c>
      <c r="L81">
        <v>13000</v>
      </c>
      <c r="M81">
        <v>3490</v>
      </c>
      <c r="N81">
        <v>1000</v>
      </c>
      <c r="O81">
        <v>2167</v>
      </c>
      <c r="P81">
        <v>158</v>
      </c>
      <c r="Q81" s="10">
        <f t="shared" si="1"/>
        <v>158</v>
      </c>
      <c r="R81" t="s">
        <v>1320</v>
      </c>
    </row>
    <row r="82" spans="1:18" x14ac:dyDescent="0.25">
      <c r="A82" t="s">
        <v>110</v>
      </c>
      <c r="B82" t="s">
        <v>537</v>
      </c>
      <c r="C82" t="s">
        <v>964</v>
      </c>
      <c r="D82" t="s">
        <v>1300</v>
      </c>
      <c r="E82">
        <v>1</v>
      </c>
      <c r="F82">
        <v>368</v>
      </c>
      <c r="G82">
        <v>4700</v>
      </c>
      <c r="H82" s="1">
        <v>46190</v>
      </c>
      <c r="I82" s="1">
        <v>46162</v>
      </c>
      <c r="J82">
        <v>10000</v>
      </c>
      <c r="K82">
        <v>3000</v>
      </c>
      <c r="L82">
        <v>13000</v>
      </c>
      <c r="M82">
        <v>3700</v>
      </c>
      <c r="N82">
        <v>1000</v>
      </c>
      <c r="O82">
        <v>2167</v>
      </c>
      <c r="P82">
        <v>368</v>
      </c>
      <c r="Q82" s="10">
        <f t="shared" si="1"/>
        <v>368</v>
      </c>
      <c r="R82" t="s">
        <v>1320</v>
      </c>
    </row>
    <row r="83" spans="1:18" x14ac:dyDescent="0.25">
      <c r="A83" t="s">
        <v>111</v>
      </c>
      <c r="B83" t="s">
        <v>538</v>
      </c>
      <c r="C83" t="s">
        <v>965</v>
      </c>
      <c r="D83" t="s">
        <v>1300</v>
      </c>
      <c r="E83">
        <v>2</v>
      </c>
      <c r="F83">
        <v>1664</v>
      </c>
      <c r="G83">
        <v>10330</v>
      </c>
      <c r="H83" s="1">
        <v>46189</v>
      </c>
      <c r="I83" s="1">
        <v>46175</v>
      </c>
      <c r="J83">
        <v>10000</v>
      </c>
      <c r="K83">
        <v>3000</v>
      </c>
      <c r="L83">
        <v>13000</v>
      </c>
      <c r="M83">
        <v>8330</v>
      </c>
      <c r="N83">
        <v>2000</v>
      </c>
      <c r="O83">
        <v>2167</v>
      </c>
      <c r="P83">
        <v>1664</v>
      </c>
      <c r="Q83" s="10">
        <f t="shared" si="1"/>
        <v>1664</v>
      </c>
      <c r="R83" t="s">
        <v>1320</v>
      </c>
    </row>
    <row r="84" spans="1:18" x14ac:dyDescent="0.25">
      <c r="A84" t="s">
        <v>112</v>
      </c>
      <c r="B84" t="s">
        <v>539</v>
      </c>
      <c r="C84" t="s">
        <v>966</v>
      </c>
      <c r="D84" t="s">
        <v>1309</v>
      </c>
      <c r="E84">
        <v>23</v>
      </c>
      <c r="F84">
        <v>110</v>
      </c>
      <c r="G84">
        <v>110</v>
      </c>
      <c r="H84" s="1">
        <v>46168</v>
      </c>
      <c r="I84" s="1">
        <v>46000</v>
      </c>
      <c r="J84">
        <v>10000</v>
      </c>
      <c r="K84">
        <v>6000</v>
      </c>
      <c r="L84">
        <v>16000</v>
      </c>
      <c r="M84">
        <v>110</v>
      </c>
      <c r="N84">
        <v>0</v>
      </c>
      <c r="O84">
        <v>667</v>
      </c>
      <c r="P84">
        <v>110</v>
      </c>
      <c r="Q84" s="10">
        <f t="shared" si="1"/>
        <v>110</v>
      </c>
      <c r="R84" t="s">
        <v>1320</v>
      </c>
    </row>
    <row r="85" spans="1:18" x14ac:dyDescent="0.25">
      <c r="A85" t="s">
        <v>113</v>
      </c>
      <c r="B85" t="s">
        <v>540</v>
      </c>
      <c r="C85" t="s">
        <v>967</v>
      </c>
      <c r="D85" t="s">
        <v>1309</v>
      </c>
      <c r="E85">
        <v>24</v>
      </c>
      <c r="F85">
        <v>3825</v>
      </c>
      <c r="G85">
        <v>3825</v>
      </c>
      <c r="H85" s="1">
        <v>46167</v>
      </c>
      <c r="I85" s="1">
        <v>46020</v>
      </c>
      <c r="J85">
        <v>15000</v>
      </c>
      <c r="K85">
        <v>9000</v>
      </c>
      <c r="L85">
        <v>24000</v>
      </c>
      <c r="M85">
        <v>2500</v>
      </c>
      <c r="N85">
        <v>1325</v>
      </c>
      <c r="O85">
        <v>1000</v>
      </c>
      <c r="P85">
        <v>3825</v>
      </c>
      <c r="Q85" s="10">
        <f t="shared" si="1"/>
        <v>3825</v>
      </c>
      <c r="R85" t="s">
        <v>1320</v>
      </c>
    </row>
    <row r="86" spans="1:18" x14ac:dyDescent="0.25">
      <c r="A86" t="s">
        <v>114</v>
      </c>
      <c r="B86" t="s">
        <v>541</v>
      </c>
      <c r="C86" t="s">
        <v>968</v>
      </c>
      <c r="D86" t="s">
        <v>1309</v>
      </c>
      <c r="E86">
        <v>1</v>
      </c>
      <c r="F86">
        <v>400</v>
      </c>
      <c r="G86">
        <v>400</v>
      </c>
      <c r="H86" s="1">
        <v>46190</v>
      </c>
      <c r="I86" s="1">
        <v>46022</v>
      </c>
      <c r="J86">
        <v>10000</v>
      </c>
      <c r="K86">
        <v>6000</v>
      </c>
      <c r="L86">
        <v>16000</v>
      </c>
      <c r="M86">
        <v>400</v>
      </c>
      <c r="N86">
        <v>0</v>
      </c>
      <c r="O86">
        <v>667</v>
      </c>
      <c r="P86">
        <v>400</v>
      </c>
      <c r="Q86" s="10">
        <f t="shared" si="1"/>
        <v>400</v>
      </c>
      <c r="R86" t="s">
        <v>1320</v>
      </c>
    </row>
    <row r="87" spans="1:18" x14ac:dyDescent="0.25">
      <c r="A87" t="s">
        <v>115</v>
      </c>
      <c r="B87" t="s">
        <v>542</v>
      </c>
      <c r="C87" t="s">
        <v>969</v>
      </c>
      <c r="D87" t="s">
        <v>1302</v>
      </c>
      <c r="E87">
        <v>8</v>
      </c>
      <c r="F87">
        <v>1261</v>
      </c>
      <c r="G87">
        <v>1920</v>
      </c>
      <c r="H87" s="1">
        <v>46183</v>
      </c>
      <c r="I87" s="1">
        <v>46029</v>
      </c>
      <c r="J87">
        <v>10000</v>
      </c>
      <c r="K87">
        <v>6000</v>
      </c>
      <c r="L87">
        <v>16000</v>
      </c>
      <c r="M87">
        <v>1243</v>
      </c>
      <c r="N87">
        <v>677</v>
      </c>
      <c r="O87">
        <v>667</v>
      </c>
      <c r="P87">
        <v>1261</v>
      </c>
      <c r="Q87" s="10">
        <f t="shared" si="1"/>
        <v>1261</v>
      </c>
      <c r="R87" t="s">
        <v>1320</v>
      </c>
    </row>
    <row r="88" spans="1:18" x14ac:dyDescent="0.25">
      <c r="A88" t="s">
        <v>116</v>
      </c>
      <c r="B88" t="s">
        <v>543</v>
      </c>
      <c r="C88" t="s">
        <v>970</v>
      </c>
      <c r="D88" t="s">
        <v>1309</v>
      </c>
      <c r="E88">
        <v>2</v>
      </c>
      <c r="F88">
        <v>1096</v>
      </c>
      <c r="G88">
        <v>3770</v>
      </c>
      <c r="H88" s="1">
        <v>46189</v>
      </c>
      <c r="I88" s="1">
        <v>46035</v>
      </c>
      <c r="J88">
        <v>20000</v>
      </c>
      <c r="K88">
        <v>12000</v>
      </c>
      <c r="L88">
        <v>32000</v>
      </c>
      <c r="M88">
        <v>2507</v>
      </c>
      <c r="N88">
        <v>1263</v>
      </c>
      <c r="O88">
        <v>1333</v>
      </c>
      <c r="P88">
        <v>1096</v>
      </c>
      <c r="Q88" s="10">
        <f t="shared" si="1"/>
        <v>1096</v>
      </c>
      <c r="R88" t="s">
        <v>1320</v>
      </c>
    </row>
    <row r="89" spans="1:18" x14ac:dyDescent="0.25">
      <c r="A89" t="s">
        <v>117</v>
      </c>
      <c r="B89" t="s">
        <v>544</v>
      </c>
      <c r="C89" t="s">
        <v>971</v>
      </c>
      <c r="D89" t="s">
        <v>1302</v>
      </c>
      <c r="E89">
        <v>30</v>
      </c>
      <c r="F89">
        <v>4760</v>
      </c>
      <c r="G89">
        <v>10760</v>
      </c>
      <c r="H89" s="1">
        <v>46161</v>
      </c>
      <c r="I89" s="1">
        <v>46063</v>
      </c>
      <c r="J89">
        <v>15000</v>
      </c>
      <c r="K89">
        <v>9000</v>
      </c>
      <c r="L89">
        <v>24000</v>
      </c>
      <c r="M89">
        <v>6875</v>
      </c>
      <c r="N89">
        <v>3885</v>
      </c>
      <c r="O89">
        <v>1000</v>
      </c>
      <c r="P89">
        <v>4760</v>
      </c>
      <c r="Q89" s="10">
        <f t="shared" si="1"/>
        <v>4760</v>
      </c>
      <c r="R89" t="s">
        <v>1320</v>
      </c>
    </row>
    <row r="90" spans="1:18" x14ac:dyDescent="0.25">
      <c r="A90" t="s">
        <v>118</v>
      </c>
      <c r="B90" t="s">
        <v>545</v>
      </c>
      <c r="C90" t="s">
        <v>972</v>
      </c>
      <c r="D90" t="s">
        <v>1302</v>
      </c>
      <c r="E90">
        <v>16</v>
      </c>
      <c r="F90">
        <v>5680</v>
      </c>
      <c r="G90">
        <v>19680</v>
      </c>
      <c r="H90" s="1">
        <v>46175</v>
      </c>
      <c r="I90" s="1">
        <v>46070</v>
      </c>
      <c r="J90">
        <v>30000</v>
      </c>
      <c r="K90">
        <v>18000</v>
      </c>
      <c r="L90">
        <v>48000</v>
      </c>
      <c r="M90">
        <v>12500</v>
      </c>
      <c r="N90">
        <v>7180</v>
      </c>
      <c r="O90">
        <v>2000</v>
      </c>
      <c r="P90">
        <v>5680</v>
      </c>
      <c r="Q90" s="10">
        <f t="shared" si="1"/>
        <v>5680</v>
      </c>
      <c r="R90" t="s">
        <v>1320</v>
      </c>
    </row>
    <row r="91" spans="1:18" x14ac:dyDescent="0.25">
      <c r="A91" t="s">
        <v>119</v>
      </c>
      <c r="B91" t="s">
        <v>546</v>
      </c>
      <c r="C91" t="s">
        <v>973</v>
      </c>
      <c r="D91" t="s">
        <v>1302</v>
      </c>
      <c r="E91">
        <v>1</v>
      </c>
      <c r="F91">
        <v>1000</v>
      </c>
      <c r="G91">
        <v>8000</v>
      </c>
      <c r="H91" s="1">
        <v>46190</v>
      </c>
      <c r="I91" s="1">
        <v>46071</v>
      </c>
      <c r="J91">
        <v>15000</v>
      </c>
      <c r="K91">
        <v>9000</v>
      </c>
      <c r="L91">
        <v>24000</v>
      </c>
      <c r="M91">
        <v>5000</v>
      </c>
      <c r="N91">
        <v>3000</v>
      </c>
      <c r="O91">
        <v>1000</v>
      </c>
      <c r="P91">
        <v>1000</v>
      </c>
      <c r="Q91" s="10">
        <f t="shared" si="1"/>
        <v>1000</v>
      </c>
      <c r="R91" t="s">
        <v>1320</v>
      </c>
    </row>
    <row r="92" spans="1:18" x14ac:dyDescent="0.25">
      <c r="A92" t="s">
        <v>120</v>
      </c>
      <c r="B92" t="s">
        <v>547</v>
      </c>
      <c r="C92" t="s">
        <v>974</v>
      </c>
      <c r="D92" t="s">
        <v>1302</v>
      </c>
      <c r="E92">
        <v>29</v>
      </c>
      <c r="F92">
        <v>4400</v>
      </c>
      <c r="G92">
        <v>11400</v>
      </c>
      <c r="H92" s="1">
        <v>46162</v>
      </c>
      <c r="I92" s="1">
        <v>46071</v>
      </c>
      <c r="J92">
        <v>15000</v>
      </c>
      <c r="K92">
        <v>9000</v>
      </c>
      <c r="L92">
        <v>24000</v>
      </c>
      <c r="M92">
        <v>7275</v>
      </c>
      <c r="N92">
        <v>4125</v>
      </c>
      <c r="O92">
        <v>1000</v>
      </c>
      <c r="P92">
        <v>4400</v>
      </c>
      <c r="Q92" s="10">
        <f t="shared" si="1"/>
        <v>4400</v>
      </c>
      <c r="R92" t="s">
        <v>1320</v>
      </c>
    </row>
    <row r="93" spans="1:18" x14ac:dyDescent="0.25">
      <c r="A93" t="s">
        <v>121</v>
      </c>
      <c r="B93" t="s">
        <v>548</v>
      </c>
      <c r="C93" t="s">
        <v>975</v>
      </c>
      <c r="D93" t="s">
        <v>1301</v>
      </c>
      <c r="E93">
        <v>21</v>
      </c>
      <c r="F93">
        <v>1300</v>
      </c>
      <c r="G93">
        <v>1300</v>
      </c>
      <c r="H93" s="1">
        <v>46170</v>
      </c>
      <c r="I93" s="1">
        <v>46142</v>
      </c>
      <c r="J93">
        <v>5000</v>
      </c>
      <c r="K93">
        <v>1000</v>
      </c>
      <c r="L93">
        <v>6000</v>
      </c>
      <c r="M93">
        <v>1250</v>
      </c>
      <c r="N93">
        <v>50</v>
      </c>
      <c r="O93">
        <v>1500</v>
      </c>
      <c r="P93">
        <v>1300</v>
      </c>
      <c r="Q93" s="10">
        <f t="shared" si="1"/>
        <v>1300</v>
      </c>
      <c r="R93" t="s">
        <v>1320</v>
      </c>
    </row>
    <row r="94" spans="1:18" x14ac:dyDescent="0.25">
      <c r="A94" t="s">
        <v>122</v>
      </c>
      <c r="B94" t="s">
        <v>549</v>
      </c>
      <c r="C94" t="s">
        <v>976</v>
      </c>
      <c r="D94" t="s">
        <v>1300</v>
      </c>
      <c r="E94">
        <v>1</v>
      </c>
      <c r="F94">
        <v>1350</v>
      </c>
      <c r="G94">
        <v>1350</v>
      </c>
      <c r="H94" s="1">
        <v>46190</v>
      </c>
      <c r="I94" s="1">
        <v>46148</v>
      </c>
      <c r="J94">
        <v>10000</v>
      </c>
      <c r="K94">
        <v>3000</v>
      </c>
      <c r="L94">
        <v>13000</v>
      </c>
      <c r="M94">
        <v>1350</v>
      </c>
      <c r="N94">
        <v>0</v>
      </c>
      <c r="O94">
        <v>2167</v>
      </c>
      <c r="P94">
        <v>1350</v>
      </c>
      <c r="Q94" s="10">
        <f t="shared" si="1"/>
        <v>1350</v>
      </c>
      <c r="R94" t="s">
        <v>1320</v>
      </c>
    </row>
    <row r="95" spans="1:18" x14ac:dyDescent="0.25">
      <c r="A95" t="s">
        <v>123</v>
      </c>
      <c r="B95" t="s">
        <v>550</v>
      </c>
      <c r="C95" t="s">
        <v>977</v>
      </c>
      <c r="D95" t="s">
        <v>1304</v>
      </c>
      <c r="E95">
        <v>3</v>
      </c>
      <c r="F95">
        <v>80.27</v>
      </c>
      <c r="G95">
        <v>86082.55</v>
      </c>
      <c r="H95" s="1">
        <v>46188</v>
      </c>
      <c r="I95" s="1">
        <v>46157</v>
      </c>
      <c r="J95">
        <v>100000</v>
      </c>
      <c r="K95">
        <v>338.28</v>
      </c>
      <c r="L95">
        <v>100338.28</v>
      </c>
      <c r="M95">
        <v>85744.27</v>
      </c>
      <c r="N95">
        <v>338.28</v>
      </c>
      <c r="O95">
        <v>20336</v>
      </c>
      <c r="P95">
        <v>80.27</v>
      </c>
      <c r="Q95" s="10">
        <f t="shared" si="1"/>
        <v>80.27</v>
      </c>
      <c r="R95" t="s">
        <v>1320</v>
      </c>
    </row>
    <row r="96" spans="1:18" x14ac:dyDescent="0.25">
      <c r="A96" t="s">
        <v>124</v>
      </c>
      <c r="B96" t="s">
        <v>551</v>
      </c>
      <c r="C96" t="s">
        <v>978</v>
      </c>
      <c r="D96" t="s">
        <v>1299</v>
      </c>
      <c r="E96">
        <v>3</v>
      </c>
      <c r="F96">
        <v>2600</v>
      </c>
      <c r="G96">
        <v>10400</v>
      </c>
      <c r="H96" s="1">
        <v>46188</v>
      </c>
      <c r="I96" s="1">
        <v>46167</v>
      </c>
      <c r="J96">
        <v>12000</v>
      </c>
      <c r="K96">
        <v>3600</v>
      </c>
      <c r="L96">
        <v>15600</v>
      </c>
      <c r="M96">
        <v>8000</v>
      </c>
      <c r="N96">
        <v>2400</v>
      </c>
      <c r="O96">
        <v>2600</v>
      </c>
      <c r="P96">
        <v>2600</v>
      </c>
      <c r="Q96" s="10">
        <f t="shared" si="1"/>
        <v>2600</v>
      </c>
      <c r="R96" t="s">
        <v>1320</v>
      </c>
    </row>
    <row r="97" spans="1:18" x14ac:dyDescent="0.25">
      <c r="A97" t="s">
        <v>125</v>
      </c>
      <c r="B97" t="s">
        <v>552</v>
      </c>
      <c r="C97" t="s">
        <v>979</v>
      </c>
      <c r="D97" t="s">
        <v>1300</v>
      </c>
      <c r="E97">
        <v>9</v>
      </c>
      <c r="F97">
        <v>2831</v>
      </c>
      <c r="G97">
        <v>9330</v>
      </c>
      <c r="H97" s="1">
        <v>46182</v>
      </c>
      <c r="I97" s="1">
        <v>46168</v>
      </c>
      <c r="J97">
        <v>10000</v>
      </c>
      <c r="K97">
        <v>3000</v>
      </c>
      <c r="L97">
        <v>13000</v>
      </c>
      <c r="M97">
        <v>7330</v>
      </c>
      <c r="N97">
        <v>2000</v>
      </c>
      <c r="O97">
        <v>2167</v>
      </c>
      <c r="P97">
        <v>2831</v>
      </c>
      <c r="Q97" s="10">
        <f t="shared" si="1"/>
        <v>2831</v>
      </c>
      <c r="R97" t="s">
        <v>1320</v>
      </c>
    </row>
    <row r="98" spans="1:18" x14ac:dyDescent="0.25">
      <c r="A98" t="s">
        <v>126</v>
      </c>
      <c r="B98" t="s">
        <v>553</v>
      </c>
      <c r="C98" t="s">
        <v>980</v>
      </c>
      <c r="D98" t="s">
        <v>1300</v>
      </c>
      <c r="E98">
        <v>3</v>
      </c>
      <c r="F98">
        <v>49</v>
      </c>
      <c r="G98">
        <v>6795</v>
      </c>
      <c r="H98" s="1">
        <v>46188</v>
      </c>
      <c r="I98" s="1">
        <v>46181</v>
      </c>
      <c r="J98">
        <v>7000</v>
      </c>
      <c r="K98">
        <v>1995</v>
      </c>
      <c r="L98">
        <v>8995</v>
      </c>
      <c r="M98">
        <v>5299</v>
      </c>
      <c r="N98">
        <v>1496</v>
      </c>
      <c r="O98">
        <v>2249</v>
      </c>
      <c r="P98">
        <v>49</v>
      </c>
      <c r="Q98" s="10">
        <f t="shared" si="1"/>
        <v>49</v>
      </c>
      <c r="R98" t="s">
        <v>1320</v>
      </c>
    </row>
    <row r="99" spans="1:18" x14ac:dyDescent="0.25">
      <c r="A99" t="s">
        <v>127</v>
      </c>
      <c r="B99" t="s">
        <v>554</v>
      </c>
      <c r="C99" t="s">
        <v>981</v>
      </c>
      <c r="D99" t="s">
        <v>1303</v>
      </c>
      <c r="E99">
        <v>7</v>
      </c>
      <c r="F99">
        <v>6601</v>
      </c>
      <c r="G99">
        <v>74600</v>
      </c>
      <c r="H99" s="1">
        <v>46184</v>
      </c>
      <c r="I99" s="1">
        <v>46092</v>
      </c>
      <c r="J99">
        <v>100000</v>
      </c>
      <c r="K99">
        <v>36000</v>
      </c>
      <c r="L99">
        <v>136000</v>
      </c>
      <c r="M99">
        <v>56600</v>
      </c>
      <c r="N99">
        <v>18000</v>
      </c>
      <c r="O99">
        <v>22667</v>
      </c>
      <c r="P99">
        <v>6601</v>
      </c>
      <c r="Q99" s="10">
        <f t="shared" si="1"/>
        <v>6601</v>
      </c>
      <c r="R99" t="s">
        <v>1321</v>
      </c>
    </row>
    <row r="100" spans="1:18" x14ac:dyDescent="0.25">
      <c r="A100" t="s">
        <v>128</v>
      </c>
      <c r="B100" t="s">
        <v>555</v>
      </c>
      <c r="C100" t="s">
        <v>982</v>
      </c>
      <c r="D100" t="s">
        <v>1307</v>
      </c>
      <c r="E100">
        <v>1</v>
      </c>
      <c r="F100">
        <v>1626.58</v>
      </c>
      <c r="G100">
        <v>89590.96</v>
      </c>
      <c r="H100" s="1">
        <v>46190</v>
      </c>
      <c r="I100" s="1">
        <v>46129</v>
      </c>
      <c r="J100">
        <v>100000</v>
      </c>
      <c r="K100">
        <v>176.38</v>
      </c>
      <c r="L100">
        <v>100176.38</v>
      </c>
      <c r="M100">
        <v>89414.58</v>
      </c>
      <c r="N100">
        <v>176.38</v>
      </c>
      <c r="O100">
        <v>11928</v>
      </c>
      <c r="P100">
        <v>1626.58</v>
      </c>
      <c r="Q100" s="10">
        <f t="shared" si="1"/>
        <v>1626.58</v>
      </c>
      <c r="R100" t="s">
        <v>1321</v>
      </c>
    </row>
    <row r="101" spans="1:18" x14ac:dyDescent="0.25">
      <c r="A101" t="s">
        <v>129</v>
      </c>
      <c r="B101" t="s">
        <v>556</v>
      </c>
      <c r="C101" t="s">
        <v>983</v>
      </c>
      <c r="D101" t="s">
        <v>1312</v>
      </c>
      <c r="E101">
        <v>1</v>
      </c>
      <c r="F101">
        <v>6000</v>
      </c>
      <c r="G101">
        <v>18000</v>
      </c>
      <c r="H101" s="1">
        <v>46190</v>
      </c>
      <c r="I101" s="1">
        <v>46134</v>
      </c>
      <c r="J101">
        <v>40000</v>
      </c>
      <c r="K101">
        <v>20000</v>
      </c>
      <c r="L101">
        <v>60000</v>
      </c>
      <c r="M101">
        <v>12000</v>
      </c>
      <c r="N101">
        <v>6000</v>
      </c>
      <c r="O101">
        <v>6000</v>
      </c>
      <c r="P101">
        <v>6000</v>
      </c>
      <c r="Q101" s="10">
        <f t="shared" si="1"/>
        <v>6000</v>
      </c>
      <c r="R101" t="s">
        <v>1321</v>
      </c>
    </row>
    <row r="102" spans="1:18" x14ac:dyDescent="0.25">
      <c r="A102" t="s">
        <v>130</v>
      </c>
      <c r="B102" t="s">
        <v>557</v>
      </c>
      <c r="C102" t="s">
        <v>984</v>
      </c>
      <c r="D102" t="s">
        <v>1300</v>
      </c>
      <c r="E102">
        <v>15</v>
      </c>
      <c r="F102">
        <v>2230</v>
      </c>
      <c r="G102">
        <v>2230</v>
      </c>
      <c r="H102" s="1">
        <v>46176</v>
      </c>
      <c r="I102" s="1">
        <v>46141</v>
      </c>
      <c r="J102">
        <v>10000</v>
      </c>
      <c r="K102">
        <v>3000</v>
      </c>
      <c r="L102">
        <v>13000</v>
      </c>
      <c r="M102">
        <v>1730</v>
      </c>
      <c r="N102">
        <v>500</v>
      </c>
      <c r="O102">
        <v>2167</v>
      </c>
      <c r="P102">
        <v>2230</v>
      </c>
      <c r="Q102" s="10">
        <f t="shared" si="1"/>
        <v>2230</v>
      </c>
      <c r="R102" t="s">
        <v>1321</v>
      </c>
    </row>
    <row r="103" spans="1:18" x14ac:dyDescent="0.25">
      <c r="A103" t="s">
        <v>131</v>
      </c>
      <c r="B103" t="s">
        <v>558</v>
      </c>
      <c r="C103" t="s">
        <v>985</v>
      </c>
      <c r="D103" t="s">
        <v>1300</v>
      </c>
      <c r="E103">
        <v>15</v>
      </c>
      <c r="F103">
        <v>3490</v>
      </c>
      <c r="G103">
        <v>3490</v>
      </c>
      <c r="H103" s="1">
        <v>46176</v>
      </c>
      <c r="I103" s="1">
        <v>46141</v>
      </c>
      <c r="J103">
        <v>10000</v>
      </c>
      <c r="K103">
        <v>3000</v>
      </c>
      <c r="L103">
        <v>13000</v>
      </c>
      <c r="M103">
        <v>2990</v>
      </c>
      <c r="N103">
        <v>500</v>
      </c>
      <c r="O103">
        <v>2167</v>
      </c>
      <c r="P103">
        <v>3490</v>
      </c>
      <c r="Q103" s="10">
        <f t="shared" si="1"/>
        <v>3490</v>
      </c>
      <c r="R103" t="s">
        <v>1321</v>
      </c>
    </row>
    <row r="104" spans="1:18" x14ac:dyDescent="0.25">
      <c r="A104" t="s">
        <v>132</v>
      </c>
      <c r="B104" t="s">
        <v>559</v>
      </c>
      <c r="C104" t="s">
        <v>986</v>
      </c>
      <c r="D104" t="s">
        <v>1300</v>
      </c>
      <c r="E104">
        <v>3</v>
      </c>
      <c r="F104">
        <v>1965</v>
      </c>
      <c r="G104">
        <v>4130</v>
      </c>
      <c r="H104" s="1">
        <v>46188</v>
      </c>
      <c r="I104" s="1">
        <v>46153</v>
      </c>
      <c r="J104">
        <v>10000</v>
      </c>
      <c r="K104">
        <v>3000</v>
      </c>
      <c r="L104">
        <v>13000</v>
      </c>
      <c r="M104">
        <v>3332</v>
      </c>
      <c r="N104">
        <v>798</v>
      </c>
      <c r="O104">
        <v>2167</v>
      </c>
      <c r="P104">
        <v>1965</v>
      </c>
      <c r="Q104" s="10">
        <f t="shared" si="1"/>
        <v>1965</v>
      </c>
      <c r="R104" t="s">
        <v>1321</v>
      </c>
    </row>
    <row r="105" spans="1:18" x14ac:dyDescent="0.25">
      <c r="A105" t="s">
        <v>133</v>
      </c>
      <c r="B105" t="s">
        <v>560</v>
      </c>
      <c r="C105" t="s">
        <v>987</v>
      </c>
      <c r="D105" t="s">
        <v>1300</v>
      </c>
      <c r="E105">
        <v>3</v>
      </c>
      <c r="F105">
        <v>297</v>
      </c>
      <c r="G105">
        <v>4629</v>
      </c>
      <c r="H105" s="1">
        <v>46188</v>
      </c>
      <c r="I105" s="1">
        <v>46160</v>
      </c>
      <c r="J105">
        <v>10000</v>
      </c>
      <c r="K105">
        <v>3000</v>
      </c>
      <c r="L105">
        <v>13000</v>
      </c>
      <c r="M105">
        <v>3629</v>
      </c>
      <c r="N105">
        <v>1000</v>
      </c>
      <c r="O105">
        <v>2167</v>
      </c>
      <c r="P105">
        <v>297</v>
      </c>
      <c r="Q105" s="10">
        <f t="shared" si="1"/>
        <v>297</v>
      </c>
      <c r="R105" t="s">
        <v>1321</v>
      </c>
    </row>
    <row r="106" spans="1:18" x14ac:dyDescent="0.25">
      <c r="A106" t="s">
        <v>134</v>
      </c>
      <c r="B106" t="s">
        <v>561</v>
      </c>
      <c r="C106" t="s">
        <v>988</v>
      </c>
      <c r="D106" t="s">
        <v>1300</v>
      </c>
      <c r="E106">
        <v>2</v>
      </c>
      <c r="F106">
        <v>200</v>
      </c>
      <c r="G106">
        <v>8950</v>
      </c>
      <c r="H106" s="1">
        <v>46189</v>
      </c>
      <c r="I106" s="1">
        <v>46168</v>
      </c>
      <c r="J106">
        <v>10000</v>
      </c>
      <c r="K106">
        <v>4000</v>
      </c>
      <c r="L106">
        <v>14000</v>
      </c>
      <c r="M106">
        <v>6450</v>
      </c>
      <c r="N106">
        <v>2500</v>
      </c>
      <c r="O106">
        <v>1750</v>
      </c>
      <c r="P106">
        <v>200</v>
      </c>
      <c r="Q106" s="10">
        <f t="shared" si="1"/>
        <v>200</v>
      </c>
      <c r="R106" t="s">
        <v>1321</v>
      </c>
    </row>
    <row r="107" spans="1:18" x14ac:dyDescent="0.25">
      <c r="A107" t="s">
        <v>135</v>
      </c>
      <c r="B107" t="s">
        <v>562</v>
      </c>
      <c r="C107" t="s">
        <v>989</v>
      </c>
      <c r="D107" t="s">
        <v>1300</v>
      </c>
      <c r="E107">
        <v>2</v>
      </c>
      <c r="F107">
        <v>1667</v>
      </c>
      <c r="G107">
        <v>6670</v>
      </c>
      <c r="H107" s="1">
        <v>46189</v>
      </c>
      <c r="I107" s="1">
        <v>46168</v>
      </c>
      <c r="J107">
        <v>7000</v>
      </c>
      <c r="K107">
        <v>3010</v>
      </c>
      <c r="L107">
        <v>10010</v>
      </c>
      <c r="M107">
        <v>4666</v>
      </c>
      <c r="N107">
        <v>2004</v>
      </c>
      <c r="O107">
        <v>1669</v>
      </c>
      <c r="P107">
        <v>1667</v>
      </c>
      <c r="Q107" s="10">
        <f t="shared" si="1"/>
        <v>1667</v>
      </c>
      <c r="R107" t="s">
        <v>1321</v>
      </c>
    </row>
    <row r="108" spans="1:18" x14ac:dyDescent="0.25">
      <c r="A108" t="s">
        <v>136</v>
      </c>
      <c r="B108" t="s">
        <v>563</v>
      </c>
      <c r="C108" t="s">
        <v>990</v>
      </c>
      <c r="D108" t="s">
        <v>1313</v>
      </c>
      <c r="E108">
        <v>2</v>
      </c>
      <c r="F108">
        <v>1131</v>
      </c>
      <c r="G108">
        <v>61130</v>
      </c>
      <c r="H108" s="1">
        <v>46189</v>
      </c>
      <c r="I108" s="1">
        <v>46168</v>
      </c>
      <c r="J108">
        <v>50000</v>
      </c>
      <c r="K108">
        <v>30000</v>
      </c>
      <c r="L108">
        <v>80000</v>
      </c>
      <c r="M108">
        <v>38630</v>
      </c>
      <c r="N108">
        <v>22500</v>
      </c>
      <c r="O108">
        <v>6667</v>
      </c>
      <c r="P108">
        <v>1131</v>
      </c>
      <c r="Q108" s="10">
        <f t="shared" si="1"/>
        <v>1131</v>
      </c>
      <c r="R108" t="s">
        <v>1321</v>
      </c>
    </row>
    <row r="109" spans="1:18" x14ac:dyDescent="0.25">
      <c r="A109" t="s">
        <v>137</v>
      </c>
      <c r="B109" t="s">
        <v>564</v>
      </c>
      <c r="C109" t="s">
        <v>991</v>
      </c>
      <c r="D109" t="s">
        <v>1299</v>
      </c>
      <c r="E109">
        <v>1</v>
      </c>
      <c r="F109">
        <v>3200</v>
      </c>
      <c r="G109">
        <v>16200</v>
      </c>
      <c r="H109" s="1">
        <v>46190</v>
      </c>
      <c r="I109" s="1">
        <v>46176</v>
      </c>
      <c r="J109">
        <v>15000</v>
      </c>
      <c r="K109">
        <v>4500</v>
      </c>
      <c r="L109">
        <v>19500</v>
      </c>
      <c r="M109">
        <v>12500</v>
      </c>
      <c r="N109">
        <v>3700</v>
      </c>
      <c r="O109">
        <v>3250</v>
      </c>
      <c r="P109">
        <v>3200</v>
      </c>
      <c r="Q109" s="10">
        <f t="shared" si="1"/>
        <v>3200</v>
      </c>
      <c r="R109" t="s">
        <v>1321</v>
      </c>
    </row>
    <row r="110" spans="1:18" x14ac:dyDescent="0.25">
      <c r="A110" t="s">
        <v>138</v>
      </c>
      <c r="B110" t="s">
        <v>565</v>
      </c>
      <c r="C110" t="s">
        <v>992</v>
      </c>
      <c r="D110" t="s">
        <v>1313</v>
      </c>
      <c r="E110">
        <v>1</v>
      </c>
      <c r="F110">
        <v>6634</v>
      </c>
      <c r="G110">
        <v>73300</v>
      </c>
      <c r="H110" s="1">
        <v>46190</v>
      </c>
      <c r="I110" s="1">
        <v>46176</v>
      </c>
      <c r="J110">
        <v>50000</v>
      </c>
      <c r="K110">
        <v>30000</v>
      </c>
      <c r="L110">
        <v>80000</v>
      </c>
      <c r="M110">
        <v>45833</v>
      </c>
      <c r="N110">
        <v>27467</v>
      </c>
      <c r="O110">
        <v>6667</v>
      </c>
      <c r="P110">
        <v>6634</v>
      </c>
      <c r="Q110" s="10">
        <f t="shared" si="1"/>
        <v>6634</v>
      </c>
      <c r="R110" t="s">
        <v>1321</v>
      </c>
    </row>
    <row r="111" spans="1:18" x14ac:dyDescent="0.25">
      <c r="A111" t="s">
        <v>139</v>
      </c>
      <c r="B111" t="s">
        <v>566</v>
      </c>
      <c r="C111" t="s">
        <v>993</v>
      </c>
      <c r="D111" t="s">
        <v>1299</v>
      </c>
      <c r="E111">
        <v>1</v>
      </c>
      <c r="F111">
        <v>2625</v>
      </c>
      <c r="G111">
        <v>21000</v>
      </c>
      <c r="H111" s="1">
        <v>46190</v>
      </c>
      <c r="I111" s="1">
        <v>46183</v>
      </c>
      <c r="J111">
        <v>15000</v>
      </c>
      <c r="K111">
        <v>6000</v>
      </c>
      <c r="L111">
        <v>21000</v>
      </c>
      <c r="M111">
        <v>15000</v>
      </c>
      <c r="N111">
        <v>6000</v>
      </c>
      <c r="O111">
        <v>2625</v>
      </c>
      <c r="P111">
        <v>2625</v>
      </c>
      <c r="Q111" s="10">
        <f t="shared" si="1"/>
        <v>2625</v>
      </c>
      <c r="R111" t="s">
        <v>1321</v>
      </c>
    </row>
    <row r="112" spans="1:18" x14ac:dyDescent="0.25">
      <c r="A112" t="s">
        <v>140</v>
      </c>
      <c r="B112" t="s">
        <v>567</v>
      </c>
      <c r="C112" t="s">
        <v>994</v>
      </c>
      <c r="D112" t="s">
        <v>1304</v>
      </c>
      <c r="E112">
        <v>1</v>
      </c>
      <c r="F112">
        <v>2373.4499999999998</v>
      </c>
      <c r="G112">
        <v>2467.09</v>
      </c>
      <c r="H112" s="1">
        <v>46190</v>
      </c>
      <c r="I112" s="1">
        <v>45917</v>
      </c>
      <c r="J112">
        <v>80000</v>
      </c>
      <c r="K112">
        <v>93.64</v>
      </c>
      <c r="L112">
        <v>80093.64</v>
      </c>
      <c r="M112">
        <v>2373.4499999999998</v>
      </c>
      <c r="N112">
        <v>93.64</v>
      </c>
      <c r="O112">
        <v>11762</v>
      </c>
      <c r="P112">
        <v>2373.4499999999998</v>
      </c>
      <c r="Q112" s="10">
        <f t="shared" si="1"/>
        <v>2373.4499999999998</v>
      </c>
      <c r="R112" t="s">
        <v>1321</v>
      </c>
    </row>
    <row r="113" spans="1:18" x14ac:dyDescent="0.25">
      <c r="A113" t="s">
        <v>141</v>
      </c>
      <c r="B113" t="s">
        <v>568</v>
      </c>
      <c r="C113" t="s">
        <v>995</v>
      </c>
      <c r="D113" t="s">
        <v>1303</v>
      </c>
      <c r="E113">
        <v>3</v>
      </c>
      <c r="F113">
        <v>1665</v>
      </c>
      <c r="G113">
        <v>102000</v>
      </c>
      <c r="H113" s="1">
        <v>46188</v>
      </c>
      <c r="I113" s="1">
        <v>46037</v>
      </c>
      <c r="J113">
        <v>100000</v>
      </c>
      <c r="K113">
        <v>72000</v>
      </c>
      <c r="L113">
        <v>172000</v>
      </c>
      <c r="M113">
        <v>60000</v>
      </c>
      <c r="N113">
        <v>42000</v>
      </c>
      <c r="O113">
        <v>14333</v>
      </c>
      <c r="P113">
        <v>1665</v>
      </c>
      <c r="Q113" s="10">
        <f t="shared" si="1"/>
        <v>1665</v>
      </c>
      <c r="R113" t="s">
        <v>1321</v>
      </c>
    </row>
    <row r="114" spans="1:18" x14ac:dyDescent="0.25">
      <c r="A114" t="s">
        <v>142</v>
      </c>
      <c r="B114" t="s">
        <v>569</v>
      </c>
      <c r="C114" t="s">
        <v>996</v>
      </c>
      <c r="D114" t="s">
        <v>1300</v>
      </c>
      <c r="E114">
        <v>1</v>
      </c>
      <c r="F114">
        <v>850</v>
      </c>
      <c r="G114">
        <v>850</v>
      </c>
      <c r="H114" s="1">
        <v>46190</v>
      </c>
      <c r="I114" s="1">
        <v>46134</v>
      </c>
      <c r="J114">
        <v>10000</v>
      </c>
      <c r="K114">
        <v>4000</v>
      </c>
      <c r="L114">
        <v>14000</v>
      </c>
      <c r="M114">
        <v>850</v>
      </c>
      <c r="N114">
        <v>0</v>
      </c>
      <c r="O114">
        <v>1750</v>
      </c>
      <c r="P114">
        <v>850</v>
      </c>
      <c r="Q114" s="10">
        <f t="shared" si="1"/>
        <v>850</v>
      </c>
      <c r="R114" t="s">
        <v>1321</v>
      </c>
    </row>
    <row r="115" spans="1:18" x14ac:dyDescent="0.25">
      <c r="A115" t="s">
        <v>143</v>
      </c>
      <c r="B115" t="s">
        <v>570</v>
      </c>
      <c r="C115" t="s">
        <v>997</v>
      </c>
      <c r="D115" t="s">
        <v>1299</v>
      </c>
      <c r="E115">
        <v>15</v>
      </c>
      <c r="F115">
        <v>7250</v>
      </c>
      <c r="G115">
        <v>7250</v>
      </c>
      <c r="H115" s="1">
        <v>46176</v>
      </c>
      <c r="I115" s="1">
        <v>46134</v>
      </c>
      <c r="J115">
        <v>15000</v>
      </c>
      <c r="K115">
        <v>6000</v>
      </c>
      <c r="L115">
        <v>21000</v>
      </c>
      <c r="M115">
        <v>5625</v>
      </c>
      <c r="N115">
        <v>1625</v>
      </c>
      <c r="O115">
        <v>2625</v>
      </c>
      <c r="P115">
        <v>7250</v>
      </c>
      <c r="Q115" s="10">
        <f t="shared" si="1"/>
        <v>7250</v>
      </c>
      <c r="R115" t="s">
        <v>1321</v>
      </c>
    </row>
    <row r="116" spans="1:18" x14ac:dyDescent="0.25">
      <c r="A116" t="s">
        <v>144</v>
      </c>
      <c r="B116" t="s">
        <v>571</v>
      </c>
      <c r="C116" t="s">
        <v>998</v>
      </c>
      <c r="D116" t="s">
        <v>1299</v>
      </c>
      <c r="E116">
        <v>2</v>
      </c>
      <c r="F116">
        <v>2625</v>
      </c>
      <c r="G116">
        <v>7875</v>
      </c>
      <c r="H116" s="1">
        <v>46189</v>
      </c>
      <c r="I116" s="1">
        <v>46147</v>
      </c>
      <c r="J116">
        <v>15000</v>
      </c>
      <c r="K116">
        <v>6000</v>
      </c>
      <c r="L116">
        <v>21000</v>
      </c>
      <c r="M116">
        <v>5625</v>
      </c>
      <c r="N116">
        <v>2250</v>
      </c>
      <c r="O116">
        <v>2625</v>
      </c>
      <c r="P116">
        <v>2625</v>
      </c>
      <c r="Q116" s="10">
        <f t="shared" si="1"/>
        <v>2625</v>
      </c>
      <c r="R116" t="s">
        <v>1321</v>
      </c>
    </row>
    <row r="117" spans="1:18" x14ac:dyDescent="0.25">
      <c r="A117" t="s">
        <v>145</v>
      </c>
      <c r="B117" t="s">
        <v>572</v>
      </c>
      <c r="C117" t="s">
        <v>999</v>
      </c>
      <c r="D117" t="s">
        <v>1300</v>
      </c>
      <c r="E117">
        <v>2</v>
      </c>
      <c r="F117">
        <v>200</v>
      </c>
      <c r="G117">
        <v>4700</v>
      </c>
      <c r="H117" s="1">
        <v>46189</v>
      </c>
      <c r="I117" s="1">
        <v>46168</v>
      </c>
      <c r="J117">
        <v>6000</v>
      </c>
      <c r="K117">
        <v>3000</v>
      </c>
      <c r="L117">
        <v>9000</v>
      </c>
      <c r="M117">
        <v>3200</v>
      </c>
      <c r="N117">
        <v>1500</v>
      </c>
      <c r="O117">
        <v>1500</v>
      </c>
      <c r="P117">
        <v>200</v>
      </c>
      <c r="Q117" s="10">
        <f t="shared" si="1"/>
        <v>200</v>
      </c>
      <c r="R117" t="s">
        <v>1321</v>
      </c>
    </row>
    <row r="118" spans="1:18" x14ac:dyDescent="0.25">
      <c r="A118" t="s">
        <v>146</v>
      </c>
      <c r="B118" t="s">
        <v>573</v>
      </c>
      <c r="C118" t="s">
        <v>1000</v>
      </c>
      <c r="D118" t="s">
        <v>1300</v>
      </c>
      <c r="E118">
        <v>6</v>
      </c>
      <c r="F118">
        <v>1000</v>
      </c>
      <c r="G118">
        <v>7000</v>
      </c>
      <c r="H118" s="1">
        <v>46185</v>
      </c>
      <c r="I118" s="1">
        <v>46171</v>
      </c>
      <c r="J118">
        <v>10000</v>
      </c>
      <c r="K118">
        <v>2000</v>
      </c>
      <c r="L118">
        <v>12000</v>
      </c>
      <c r="M118">
        <v>6000</v>
      </c>
      <c r="N118">
        <v>1000</v>
      </c>
      <c r="O118">
        <v>3000</v>
      </c>
      <c r="P118">
        <v>1000</v>
      </c>
      <c r="Q118" s="10">
        <f t="shared" si="1"/>
        <v>1000</v>
      </c>
      <c r="R118" t="s">
        <v>1321</v>
      </c>
    </row>
    <row r="119" spans="1:18" x14ac:dyDescent="0.25">
      <c r="A119" t="s">
        <v>147</v>
      </c>
      <c r="B119" t="s">
        <v>574</v>
      </c>
      <c r="C119" t="s">
        <v>1001</v>
      </c>
      <c r="D119" t="s">
        <v>1300</v>
      </c>
      <c r="E119">
        <v>1</v>
      </c>
      <c r="F119">
        <v>1000</v>
      </c>
      <c r="G119">
        <v>7000</v>
      </c>
      <c r="H119" s="1">
        <v>46190</v>
      </c>
      <c r="I119" s="1">
        <v>46176</v>
      </c>
      <c r="J119">
        <v>10000</v>
      </c>
      <c r="K119">
        <v>2000</v>
      </c>
      <c r="L119">
        <v>12000</v>
      </c>
      <c r="M119">
        <v>6000</v>
      </c>
      <c r="N119">
        <v>1000</v>
      </c>
      <c r="O119">
        <v>3000</v>
      </c>
      <c r="P119">
        <v>1000</v>
      </c>
      <c r="Q119" s="10">
        <f t="shared" si="1"/>
        <v>1000</v>
      </c>
      <c r="R119" t="s">
        <v>1321</v>
      </c>
    </row>
    <row r="120" spans="1:18" x14ac:dyDescent="0.25">
      <c r="A120" t="s">
        <v>148</v>
      </c>
      <c r="B120" t="s">
        <v>575</v>
      </c>
      <c r="C120" t="s">
        <v>1002</v>
      </c>
      <c r="D120" t="s">
        <v>1300</v>
      </c>
      <c r="E120">
        <v>7</v>
      </c>
      <c r="F120">
        <v>1700</v>
      </c>
      <c r="G120">
        <v>7700</v>
      </c>
      <c r="H120" s="1">
        <v>46184</v>
      </c>
      <c r="I120" s="1">
        <v>46177</v>
      </c>
      <c r="J120">
        <v>6000</v>
      </c>
      <c r="K120">
        <v>3000</v>
      </c>
      <c r="L120">
        <v>9000</v>
      </c>
      <c r="M120">
        <v>5200</v>
      </c>
      <c r="N120">
        <v>2500</v>
      </c>
      <c r="O120">
        <v>1500</v>
      </c>
      <c r="P120">
        <v>1700</v>
      </c>
      <c r="Q120" s="10">
        <f t="shared" si="1"/>
        <v>1700</v>
      </c>
      <c r="R120" t="s">
        <v>1321</v>
      </c>
    </row>
    <row r="121" spans="1:18" x14ac:dyDescent="0.25">
      <c r="A121" t="s">
        <v>149</v>
      </c>
      <c r="B121" t="s">
        <v>576</v>
      </c>
      <c r="C121" t="s">
        <v>1003</v>
      </c>
      <c r="D121" t="s">
        <v>1300</v>
      </c>
      <c r="E121">
        <v>3</v>
      </c>
      <c r="F121">
        <v>995</v>
      </c>
      <c r="G121">
        <v>6980</v>
      </c>
      <c r="H121" s="1">
        <v>46188</v>
      </c>
      <c r="I121" s="1">
        <v>46181</v>
      </c>
      <c r="J121">
        <v>6000</v>
      </c>
      <c r="K121">
        <v>1980</v>
      </c>
      <c r="L121">
        <v>7980</v>
      </c>
      <c r="M121">
        <v>5495</v>
      </c>
      <c r="N121">
        <v>1485</v>
      </c>
      <c r="O121">
        <v>1995</v>
      </c>
      <c r="P121">
        <v>995</v>
      </c>
      <c r="Q121" s="10">
        <f t="shared" si="1"/>
        <v>995</v>
      </c>
      <c r="R121" t="s">
        <v>1321</v>
      </c>
    </row>
    <row r="122" spans="1:18" x14ac:dyDescent="0.25">
      <c r="A122" t="s">
        <v>150</v>
      </c>
      <c r="B122" t="s">
        <v>577</v>
      </c>
      <c r="C122" t="s">
        <v>1004</v>
      </c>
      <c r="D122" t="s">
        <v>1300</v>
      </c>
      <c r="E122">
        <v>29</v>
      </c>
      <c r="F122">
        <v>3380</v>
      </c>
      <c r="G122">
        <v>3380</v>
      </c>
      <c r="H122" s="1">
        <v>46162</v>
      </c>
      <c r="I122" s="1">
        <v>46127</v>
      </c>
      <c r="J122">
        <v>10000</v>
      </c>
      <c r="K122">
        <v>3000</v>
      </c>
      <c r="L122">
        <v>13000</v>
      </c>
      <c r="M122">
        <v>2880</v>
      </c>
      <c r="N122">
        <v>500</v>
      </c>
      <c r="O122">
        <v>2167</v>
      </c>
      <c r="P122">
        <v>3380</v>
      </c>
      <c r="Q122" s="10">
        <f t="shared" si="1"/>
        <v>3380</v>
      </c>
      <c r="R122" t="s">
        <v>1321</v>
      </c>
    </row>
    <row r="123" spans="1:18" x14ac:dyDescent="0.25">
      <c r="A123" t="s">
        <v>151</v>
      </c>
      <c r="B123" t="s">
        <v>578</v>
      </c>
      <c r="C123" t="s">
        <v>1005</v>
      </c>
      <c r="D123" t="s">
        <v>1300</v>
      </c>
      <c r="E123">
        <v>24</v>
      </c>
      <c r="F123">
        <v>8260</v>
      </c>
      <c r="G123">
        <v>8260</v>
      </c>
      <c r="H123" s="1">
        <v>46167</v>
      </c>
      <c r="I123" s="1">
        <v>46146</v>
      </c>
      <c r="J123">
        <v>10000</v>
      </c>
      <c r="K123">
        <v>3000</v>
      </c>
      <c r="L123">
        <v>13000</v>
      </c>
      <c r="M123">
        <v>6666</v>
      </c>
      <c r="N123">
        <v>1594</v>
      </c>
      <c r="O123">
        <v>2167</v>
      </c>
      <c r="P123">
        <v>8260</v>
      </c>
      <c r="Q123" s="10">
        <f t="shared" si="1"/>
        <v>8260</v>
      </c>
      <c r="R123" t="s">
        <v>1321</v>
      </c>
    </row>
    <row r="124" spans="1:18" x14ac:dyDescent="0.25">
      <c r="A124" t="s">
        <v>152</v>
      </c>
      <c r="B124" t="s">
        <v>579</v>
      </c>
      <c r="C124" t="s">
        <v>1006</v>
      </c>
      <c r="D124" t="s">
        <v>1300</v>
      </c>
      <c r="E124">
        <v>3</v>
      </c>
      <c r="F124">
        <v>300</v>
      </c>
      <c r="G124">
        <v>5550</v>
      </c>
      <c r="H124" s="1">
        <v>46188</v>
      </c>
      <c r="I124" s="1">
        <v>46153</v>
      </c>
      <c r="J124">
        <v>10000</v>
      </c>
      <c r="K124">
        <v>4000</v>
      </c>
      <c r="L124">
        <v>14000</v>
      </c>
      <c r="M124">
        <v>4050</v>
      </c>
      <c r="N124">
        <v>1500</v>
      </c>
      <c r="O124">
        <v>1750</v>
      </c>
      <c r="P124">
        <v>300</v>
      </c>
      <c r="Q124" s="10">
        <f t="shared" si="1"/>
        <v>300</v>
      </c>
      <c r="R124" t="s">
        <v>1321</v>
      </c>
    </row>
    <row r="125" spans="1:18" x14ac:dyDescent="0.25">
      <c r="A125" t="s">
        <v>153</v>
      </c>
      <c r="B125" t="s">
        <v>580</v>
      </c>
      <c r="C125" t="s">
        <v>1007</v>
      </c>
      <c r="D125" t="s">
        <v>1311</v>
      </c>
      <c r="E125">
        <v>1</v>
      </c>
      <c r="F125">
        <v>4331</v>
      </c>
      <c r="G125">
        <v>21665</v>
      </c>
      <c r="H125" s="1">
        <v>46190</v>
      </c>
      <c r="I125" s="1">
        <v>46176</v>
      </c>
      <c r="J125">
        <v>20000</v>
      </c>
      <c r="K125">
        <v>6000</v>
      </c>
      <c r="L125">
        <v>26000</v>
      </c>
      <c r="M125">
        <v>16667</v>
      </c>
      <c r="N125">
        <v>4998</v>
      </c>
      <c r="O125">
        <v>4333</v>
      </c>
      <c r="P125">
        <v>4331</v>
      </c>
      <c r="Q125" s="10">
        <f t="shared" si="1"/>
        <v>4331</v>
      </c>
      <c r="R125" t="s">
        <v>1321</v>
      </c>
    </row>
    <row r="126" spans="1:18" x14ac:dyDescent="0.25">
      <c r="A126" t="s">
        <v>154</v>
      </c>
      <c r="B126" t="s">
        <v>581</v>
      </c>
      <c r="C126" t="s">
        <v>1008</v>
      </c>
      <c r="D126" t="s">
        <v>1304</v>
      </c>
      <c r="E126">
        <v>2</v>
      </c>
      <c r="F126">
        <v>11462.67</v>
      </c>
      <c r="G126">
        <v>187779.59</v>
      </c>
      <c r="H126" s="1">
        <v>46189</v>
      </c>
      <c r="I126" s="1">
        <v>46128</v>
      </c>
      <c r="J126">
        <v>200000</v>
      </c>
      <c r="K126">
        <v>737.92</v>
      </c>
      <c r="L126">
        <v>200737.92000000001</v>
      </c>
      <c r="M126">
        <v>187041.67</v>
      </c>
      <c r="N126">
        <v>737.92</v>
      </c>
      <c r="O126">
        <v>23855</v>
      </c>
      <c r="P126">
        <v>11462.67</v>
      </c>
      <c r="Q126" s="10">
        <f t="shared" si="1"/>
        <v>11462.67</v>
      </c>
      <c r="R126" t="s">
        <v>1321</v>
      </c>
    </row>
    <row r="127" spans="1:18" x14ac:dyDescent="0.25">
      <c r="A127" t="s">
        <v>155</v>
      </c>
      <c r="B127" t="s">
        <v>582</v>
      </c>
      <c r="C127" t="s">
        <v>1009</v>
      </c>
      <c r="D127" t="s">
        <v>1299</v>
      </c>
      <c r="E127">
        <v>3</v>
      </c>
      <c r="F127">
        <v>1560</v>
      </c>
      <c r="G127">
        <v>1560</v>
      </c>
      <c r="H127" s="1">
        <v>46188</v>
      </c>
      <c r="I127" s="1">
        <v>46146</v>
      </c>
      <c r="J127">
        <v>12000</v>
      </c>
      <c r="K127">
        <v>3600</v>
      </c>
      <c r="L127">
        <v>15600</v>
      </c>
      <c r="M127">
        <v>1560</v>
      </c>
      <c r="N127">
        <v>0</v>
      </c>
      <c r="O127">
        <v>2600</v>
      </c>
      <c r="P127">
        <v>1560</v>
      </c>
      <c r="Q127" s="10">
        <f t="shared" si="1"/>
        <v>1560</v>
      </c>
      <c r="R127" t="s">
        <v>1321</v>
      </c>
    </row>
    <row r="128" spans="1:18" x14ac:dyDescent="0.25">
      <c r="A128" t="s">
        <v>156</v>
      </c>
      <c r="B128" t="s">
        <v>583</v>
      </c>
      <c r="C128" t="s">
        <v>1010</v>
      </c>
      <c r="D128" t="s">
        <v>1300</v>
      </c>
      <c r="E128">
        <v>1</v>
      </c>
      <c r="F128">
        <v>750</v>
      </c>
      <c r="G128">
        <v>6000</v>
      </c>
      <c r="H128" s="1">
        <v>46190</v>
      </c>
      <c r="I128" s="1">
        <v>46155</v>
      </c>
      <c r="J128">
        <v>10000</v>
      </c>
      <c r="K128">
        <v>4000</v>
      </c>
      <c r="L128">
        <v>14000</v>
      </c>
      <c r="M128">
        <v>4500</v>
      </c>
      <c r="N128">
        <v>1500</v>
      </c>
      <c r="O128">
        <v>1750</v>
      </c>
      <c r="P128">
        <v>750</v>
      </c>
      <c r="Q128" s="10">
        <f t="shared" si="1"/>
        <v>750</v>
      </c>
      <c r="R128" t="s">
        <v>1321</v>
      </c>
    </row>
    <row r="129" spans="1:18" x14ac:dyDescent="0.25">
      <c r="A129" t="s">
        <v>157</v>
      </c>
      <c r="B129" t="s">
        <v>584</v>
      </c>
      <c r="C129" t="s">
        <v>1011</v>
      </c>
      <c r="D129" t="s">
        <v>1299</v>
      </c>
      <c r="E129">
        <v>2</v>
      </c>
      <c r="F129">
        <v>2815</v>
      </c>
      <c r="G129">
        <v>9315</v>
      </c>
      <c r="H129" s="1">
        <v>46189</v>
      </c>
      <c r="I129" s="1">
        <v>46161</v>
      </c>
      <c r="J129">
        <v>15000</v>
      </c>
      <c r="K129">
        <v>4500</v>
      </c>
      <c r="L129">
        <v>19500</v>
      </c>
      <c r="M129">
        <v>7500</v>
      </c>
      <c r="N129">
        <v>1815</v>
      </c>
      <c r="O129">
        <v>3250</v>
      </c>
      <c r="P129">
        <v>2815</v>
      </c>
      <c r="Q129" s="10">
        <f t="shared" si="1"/>
        <v>2815</v>
      </c>
      <c r="R129" t="s">
        <v>1321</v>
      </c>
    </row>
    <row r="130" spans="1:18" x14ac:dyDescent="0.25">
      <c r="A130" t="s">
        <v>158</v>
      </c>
      <c r="B130" t="s">
        <v>585</v>
      </c>
      <c r="C130" t="s">
        <v>1012</v>
      </c>
      <c r="D130" t="s">
        <v>1302</v>
      </c>
      <c r="E130">
        <v>15</v>
      </c>
      <c r="F130">
        <v>1565</v>
      </c>
      <c r="G130">
        <v>4365</v>
      </c>
      <c r="H130" s="1">
        <v>46176</v>
      </c>
      <c r="I130" s="1">
        <v>46106</v>
      </c>
      <c r="J130">
        <v>8000</v>
      </c>
      <c r="K130">
        <v>3200</v>
      </c>
      <c r="L130">
        <v>11200</v>
      </c>
      <c r="M130">
        <v>3165</v>
      </c>
      <c r="N130">
        <v>1200</v>
      </c>
      <c r="O130">
        <v>700</v>
      </c>
      <c r="P130">
        <v>1565</v>
      </c>
      <c r="Q130" s="10">
        <f t="shared" si="1"/>
        <v>1565</v>
      </c>
      <c r="R130" t="s">
        <v>1322</v>
      </c>
    </row>
    <row r="131" spans="1:18" x14ac:dyDescent="0.25">
      <c r="A131" t="s">
        <v>159</v>
      </c>
      <c r="B131" t="s">
        <v>586</v>
      </c>
      <c r="C131" t="s">
        <v>1013</v>
      </c>
      <c r="D131" t="s">
        <v>1302</v>
      </c>
      <c r="E131">
        <v>29</v>
      </c>
      <c r="F131">
        <v>3080</v>
      </c>
      <c r="G131">
        <v>5880</v>
      </c>
      <c r="H131" s="1">
        <v>46162</v>
      </c>
      <c r="I131" s="1">
        <v>46106</v>
      </c>
      <c r="J131">
        <v>8000</v>
      </c>
      <c r="K131">
        <v>3200</v>
      </c>
      <c r="L131">
        <v>11200</v>
      </c>
      <c r="M131">
        <v>4280</v>
      </c>
      <c r="N131">
        <v>1600</v>
      </c>
      <c r="O131">
        <v>700</v>
      </c>
      <c r="P131">
        <v>3080</v>
      </c>
      <c r="Q131" s="10">
        <f t="shared" ref="Q131:Q194" si="2">P131</f>
        <v>3080</v>
      </c>
      <c r="R131" t="s">
        <v>1322</v>
      </c>
    </row>
    <row r="132" spans="1:18" x14ac:dyDescent="0.25">
      <c r="A132" t="s">
        <v>160</v>
      </c>
      <c r="B132" t="s">
        <v>587</v>
      </c>
      <c r="C132" t="s">
        <v>1014</v>
      </c>
      <c r="D132" t="s">
        <v>1300</v>
      </c>
      <c r="E132">
        <v>21</v>
      </c>
      <c r="F132">
        <v>3210</v>
      </c>
      <c r="G132">
        <v>3210</v>
      </c>
      <c r="H132" s="1">
        <v>46170</v>
      </c>
      <c r="I132" s="1">
        <v>46121</v>
      </c>
      <c r="J132">
        <v>9000</v>
      </c>
      <c r="K132">
        <v>3960</v>
      </c>
      <c r="L132">
        <v>12960</v>
      </c>
      <c r="M132">
        <v>2250</v>
      </c>
      <c r="N132">
        <v>960</v>
      </c>
      <c r="O132">
        <v>1620</v>
      </c>
      <c r="P132">
        <v>3210</v>
      </c>
      <c r="Q132" s="10">
        <f t="shared" si="2"/>
        <v>3210</v>
      </c>
      <c r="R132" t="s">
        <v>1322</v>
      </c>
    </row>
    <row r="133" spans="1:18" x14ac:dyDescent="0.25">
      <c r="A133" t="s">
        <v>161</v>
      </c>
      <c r="B133" t="s">
        <v>588</v>
      </c>
      <c r="C133" t="s">
        <v>1015</v>
      </c>
      <c r="D133" t="s">
        <v>1302</v>
      </c>
      <c r="E133">
        <v>24</v>
      </c>
      <c r="F133">
        <v>2540</v>
      </c>
      <c r="G133">
        <v>7440</v>
      </c>
      <c r="H133" s="1">
        <v>46167</v>
      </c>
      <c r="I133" s="1">
        <v>46125</v>
      </c>
      <c r="J133">
        <v>8000</v>
      </c>
      <c r="K133">
        <v>3200</v>
      </c>
      <c r="L133">
        <v>11200</v>
      </c>
      <c r="M133">
        <v>5440</v>
      </c>
      <c r="N133">
        <v>2000</v>
      </c>
      <c r="O133">
        <v>700</v>
      </c>
      <c r="P133">
        <v>2540</v>
      </c>
      <c r="Q133" s="10">
        <f t="shared" si="2"/>
        <v>2540</v>
      </c>
      <c r="R133" t="s">
        <v>1322</v>
      </c>
    </row>
    <row r="134" spans="1:18" x14ac:dyDescent="0.25">
      <c r="A134" t="s">
        <v>162</v>
      </c>
      <c r="B134" t="s">
        <v>589</v>
      </c>
      <c r="C134" t="s">
        <v>1016</v>
      </c>
      <c r="D134" t="s">
        <v>1300</v>
      </c>
      <c r="E134">
        <v>7</v>
      </c>
      <c r="F134">
        <v>1750</v>
      </c>
      <c r="G134">
        <v>1750</v>
      </c>
      <c r="H134" s="1">
        <v>46184</v>
      </c>
      <c r="I134" s="1">
        <v>46128</v>
      </c>
      <c r="J134">
        <v>10000</v>
      </c>
      <c r="K134">
        <v>4000</v>
      </c>
      <c r="L134">
        <v>14000</v>
      </c>
      <c r="M134">
        <v>1250</v>
      </c>
      <c r="N134">
        <v>500</v>
      </c>
      <c r="O134">
        <v>1750</v>
      </c>
      <c r="P134">
        <v>1750</v>
      </c>
      <c r="Q134" s="10">
        <f t="shared" si="2"/>
        <v>1750</v>
      </c>
      <c r="R134" t="s">
        <v>1322</v>
      </c>
    </row>
    <row r="135" spans="1:18" x14ac:dyDescent="0.25">
      <c r="A135" t="s">
        <v>163</v>
      </c>
      <c r="B135" t="s">
        <v>590</v>
      </c>
      <c r="C135" t="s">
        <v>1017</v>
      </c>
      <c r="D135" t="s">
        <v>1302</v>
      </c>
      <c r="E135">
        <v>7</v>
      </c>
      <c r="F135">
        <v>750</v>
      </c>
      <c r="G135">
        <v>5650</v>
      </c>
      <c r="H135" s="1">
        <v>46184</v>
      </c>
      <c r="I135" s="1">
        <v>46128</v>
      </c>
      <c r="J135">
        <v>8000</v>
      </c>
      <c r="K135">
        <v>3200</v>
      </c>
      <c r="L135">
        <v>11200</v>
      </c>
      <c r="M135">
        <v>4050</v>
      </c>
      <c r="N135">
        <v>1600</v>
      </c>
      <c r="O135">
        <v>700</v>
      </c>
      <c r="P135">
        <v>750</v>
      </c>
      <c r="Q135" s="10">
        <f t="shared" si="2"/>
        <v>750</v>
      </c>
      <c r="R135" t="s">
        <v>1322</v>
      </c>
    </row>
    <row r="136" spans="1:18" x14ac:dyDescent="0.25">
      <c r="A136" t="s">
        <v>164</v>
      </c>
      <c r="B136" t="s">
        <v>591</v>
      </c>
      <c r="C136" t="s">
        <v>1018</v>
      </c>
      <c r="D136" t="s">
        <v>1302</v>
      </c>
      <c r="E136">
        <v>28</v>
      </c>
      <c r="F136">
        <v>2980</v>
      </c>
      <c r="G136">
        <v>7880</v>
      </c>
      <c r="H136" s="1">
        <v>46163</v>
      </c>
      <c r="I136" s="1">
        <v>46128</v>
      </c>
      <c r="J136">
        <v>8000</v>
      </c>
      <c r="K136">
        <v>3200</v>
      </c>
      <c r="L136">
        <v>11200</v>
      </c>
      <c r="M136">
        <v>5680</v>
      </c>
      <c r="N136">
        <v>2200</v>
      </c>
      <c r="O136">
        <v>700</v>
      </c>
      <c r="P136">
        <v>2980</v>
      </c>
      <c r="Q136" s="10">
        <f t="shared" si="2"/>
        <v>2980</v>
      </c>
      <c r="R136" t="s">
        <v>1322</v>
      </c>
    </row>
    <row r="137" spans="1:18" x14ac:dyDescent="0.25">
      <c r="A137" t="s">
        <v>165</v>
      </c>
      <c r="B137" t="s">
        <v>592</v>
      </c>
      <c r="C137" t="s">
        <v>1019</v>
      </c>
      <c r="D137" t="s">
        <v>1302</v>
      </c>
      <c r="E137">
        <v>13</v>
      </c>
      <c r="F137">
        <v>554</v>
      </c>
      <c r="G137">
        <v>4050</v>
      </c>
      <c r="H137" s="1">
        <v>46178</v>
      </c>
      <c r="I137" s="1">
        <v>46129</v>
      </c>
      <c r="J137">
        <v>5000</v>
      </c>
      <c r="K137">
        <v>2000</v>
      </c>
      <c r="L137">
        <v>7000</v>
      </c>
      <c r="M137">
        <v>2925</v>
      </c>
      <c r="N137">
        <v>1125</v>
      </c>
      <c r="O137">
        <v>438</v>
      </c>
      <c r="P137">
        <v>554</v>
      </c>
      <c r="Q137" s="10">
        <f t="shared" si="2"/>
        <v>554</v>
      </c>
      <c r="R137" t="s">
        <v>1322</v>
      </c>
    </row>
    <row r="138" spans="1:18" x14ac:dyDescent="0.25">
      <c r="A138" t="s">
        <v>166</v>
      </c>
      <c r="B138" t="s">
        <v>593</v>
      </c>
      <c r="C138" t="s">
        <v>1020</v>
      </c>
      <c r="D138" t="s">
        <v>1302</v>
      </c>
      <c r="E138">
        <v>6</v>
      </c>
      <c r="F138">
        <v>30</v>
      </c>
      <c r="G138">
        <v>5630</v>
      </c>
      <c r="H138" s="1">
        <v>46185</v>
      </c>
      <c r="I138" s="1">
        <v>46129</v>
      </c>
      <c r="J138">
        <v>8000</v>
      </c>
      <c r="K138">
        <v>3200</v>
      </c>
      <c r="L138">
        <v>11200</v>
      </c>
      <c r="M138">
        <v>4030</v>
      </c>
      <c r="N138">
        <v>1600</v>
      </c>
      <c r="O138">
        <v>700</v>
      </c>
      <c r="P138">
        <v>30</v>
      </c>
      <c r="Q138" s="10">
        <f t="shared" si="2"/>
        <v>30</v>
      </c>
      <c r="R138" t="s">
        <v>1322</v>
      </c>
    </row>
    <row r="139" spans="1:18" x14ac:dyDescent="0.25">
      <c r="A139" t="s">
        <v>167</v>
      </c>
      <c r="B139" t="s">
        <v>594</v>
      </c>
      <c r="C139" t="s">
        <v>1021</v>
      </c>
      <c r="D139" t="s">
        <v>1300</v>
      </c>
      <c r="E139">
        <v>30</v>
      </c>
      <c r="F139">
        <v>8000</v>
      </c>
      <c r="G139">
        <v>8000</v>
      </c>
      <c r="H139" s="1">
        <v>46161</v>
      </c>
      <c r="I139" s="1">
        <v>46133</v>
      </c>
      <c r="J139">
        <v>10000</v>
      </c>
      <c r="K139">
        <v>4000</v>
      </c>
      <c r="L139">
        <v>14000</v>
      </c>
      <c r="M139">
        <v>6000</v>
      </c>
      <c r="N139">
        <v>2000</v>
      </c>
      <c r="O139">
        <v>1750</v>
      </c>
      <c r="P139">
        <v>8000</v>
      </c>
      <c r="Q139" s="10">
        <f t="shared" si="2"/>
        <v>8000</v>
      </c>
      <c r="R139" t="s">
        <v>1322</v>
      </c>
    </row>
    <row r="140" spans="1:18" x14ac:dyDescent="0.25">
      <c r="A140" t="s">
        <v>168</v>
      </c>
      <c r="B140" t="s">
        <v>595</v>
      </c>
      <c r="C140" t="s">
        <v>1022</v>
      </c>
      <c r="D140" t="s">
        <v>1300</v>
      </c>
      <c r="E140">
        <v>8</v>
      </c>
      <c r="F140">
        <v>2500</v>
      </c>
      <c r="G140">
        <v>2500</v>
      </c>
      <c r="H140" s="1">
        <v>46183</v>
      </c>
      <c r="I140" s="1">
        <v>46134</v>
      </c>
      <c r="J140">
        <v>10000</v>
      </c>
      <c r="K140">
        <v>4000</v>
      </c>
      <c r="L140">
        <v>14000</v>
      </c>
      <c r="M140">
        <v>2000</v>
      </c>
      <c r="N140">
        <v>500</v>
      </c>
      <c r="O140">
        <v>1750</v>
      </c>
      <c r="P140">
        <v>2500</v>
      </c>
      <c r="Q140" s="10">
        <f t="shared" si="2"/>
        <v>2500</v>
      </c>
      <c r="R140" t="s">
        <v>1322</v>
      </c>
    </row>
    <row r="141" spans="1:18" x14ac:dyDescent="0.25">
      <c r="A141" t="s">
        <v>169</v>
      </c>
      <c r="B141" t="s">
        <v>596</v>
      </c>
      <c r="C141" t="s">
        <v>1023</v>
      </c>
      <c r="D141" t="s">
        <v>1299</v>
      </c>
      <c r="E141">
        <v>20</v>
      </c>
      <c r="F141">
        <v>5475</v>
      </c>
      <c r="G141">
        <v>8100</v>
      </c>
      <c r="H141" s="1">
        <v>46171</v>
      </c>
      <c r="I141" s="1">
        <v>46136</v>
      </c>
      <c r="J141">
        <v>15000</v>
      </c>
      <c r="K141">
        <v>6000</v>
      </c>
      <c r="L141">
        <v>21000</v>
      </c>
      <c r="M141">
        <v>5850</v>
      </c>
      <c r="N141">
        <v>2250</v>
      </c>
      <c r="O141">
        <v>2625</v>
      </c>
      <c r="P141">
        <v>5475</v>
      </c>
      <c r="Q141" s="10">
        <f t="shared" si="2"/>
        <v>5475</v>
      </c>
      <c r="R141" t="s">
        <v>1322</v>
      </c>
    </row>
    <row r="142" spans="1:18" x14ac:dyDescent="0.25">
      <c r="A142" t="s">
        <v>170</v>
      </c>
      <c r="B142" t="s">
        <v>597</v>
      </c>
      <c r="C142" t="s">
        <v>1024</v>
      </c>
      <c r="D142" t="s">
        <v>1302</v>
      </c>
      <c r="E142">
        <v>16</v>
      </c>
      <c r="F142">
        <v>1700</v>
      </c>
      <c r="G142">
        <v>8000</v>
      </c>
      <c r="H142" s="1">
        <v>46175</v>
      </c>
      <c r="I142" s="1">
        <v>46140</v>
      </c>
      <c r="J142">
        <v>8000</v>
      </c>
      <c r="K142">
        <v>3200</v>
      </c>
      <c r="L142">
        <v>11200</v>
      </c>
      <c r="M142">
        <v>5800</v>
      </c>
      <c r="N142">
        <v>2200</v>
      </c>
      <c r="O142">
        <v>700</v>
      </c>
      <c r="P142">
        <v>1700</v>
      </c>
      <c r="Q142" s="10">
        <f t="shared" si="2"/>
        <v>1700</v>
      </c>
      <c r="R142" t="s">
        <v>1322</v>
      </c>
    </row>
    <row r="143" spans="1:18" x14ac:dyDescent="0.25">
      <c r="A143" t="s">
        <v>171</v>
      </c>
      <c r="B143" t="s">
        <v>598</v>
      </c>
      <c r="C143" t="s">
        <v>1025</v>
      </c>
      <c r="D143" t="s">
        <v>1302</v>
      </c>
      <c r="E143">
        <v>16</v>
      </c>
      <c r="F143">
        <v>1256</v>
      </c>
      <c r="G143">
        <v>5190</v>
      </c>
      <c r="H143" s="1">
        <v>46175</v>
      </c>
      <c r="I143" s="1">
        <v>46140</v>
      </c>
      <c r="J143">
        <v>5000</v>
      </c>
      <c r="K143">
        <v>2000</v>
      </c>
      <c r="L143">
        <v>7000</v>
      </c>
      <c r="M143">
        <v>3748</v>
      </c>
      <c r="N143">
        <v>1442</v>
      </c>
      <c r="O143">
        <v>438</v>
      </c>
      <c r="P143">
        <v>1256</v>
      </c>
      <c r="Q143" s="10">
        <f t="shared" si="2"/>
        <v>1256</v>
      </c>
      <c r="R143" t="s">
        <v>1322</v>
      </c>
    </row>
    <row r="144" spans="1:18" x14ac:dyDescent="0.25">
      <c r="A144" t="s">
        <v>172</v>
      </c>
      <c r="B144" t="s">
        <v>599</v>
      </c>
      <c r="C144" t="s">
        <v>1026</v>
      </c>
      <c r="D144" t="s">
        <v>1302</v>
      </c>
      <c r="E144">
        <v>16</v>
      </c>
      <c r="F144">
        <v>1825</v>
      </c>
      <c r="G144">
        <v>9700</v>
      </c>
      <c r="H144" s="1">
        <v>46175</v>
      </c>
      <c r="I144" s="1">
        <v>46140</v>
      </c>
      <c r="J144">
        <v>10000</v>
      </c>
      <c r="K144">
        <v>4000</v>
      </c>
      <c r="L144">
        <v>14000</v>
      </c>
      <c r="M144">
        <v>6950</v>
      </c>
      <c r="N144">
        <v>2750</v>
      </c>
      <c r="O144">
        <v>875</v>
      </c>
      <c r="P144">
        <v>1825</v>
      </c>
      <c r="Q144" s="10">
        <f t="shared" si="2"/>
        <v>1825</v>
      </c>
      <c r="R144" t="s">
        <v>1322</v>
      </c>
    </row>
    <row r="145" spans="1:18" x14ac:dyDescent="0.25">
      <c r="A145" t="s">
        <v>173</v>
      </c>
      <c r="B145" t="s">
        <v>600</v>
      </c>
      <c r="C145" t="s">
        <v>1027</v>
      </c>
      <c r="D145" t="s">
        <v>1302</v>
      </c>
      <c r="E145">
        <v>2</v>
      </c>
      <c r="F145">
        <v>125</v>
      </c>
      <c r="G145">
        <v>8000</v>
      </c>
      <c r="H145" s="1">
        <v>46189</v>
      </c>
      <c r="I145" s="1">
        <v>46140</v>
      </c>
      <c r="J145">
        <v>10000</v>
      </c>
      <c r="K145">
        <v>4000</v>
      </c>
      <c r="L145">
        <v>14000</v>
      </c>
      <c r="M145">
        <v>5750</v>
      </c>
      <c r="N145">
        <v>2250</v>
      </c>
      <c r="O145">
        <v>875</v>
      </c>
      <c r="P145">
        <v>125</v>
      </c>
      <c r="Q145" s="10">
        <f t="shared" si="2"/>
        <v>125</v>
      </c>
      <c r="R145" t="s">
        <v>1322</v>
      </c>
    </row>
    <row r="146" spans="1:18" x14ac:dyDescent="0.25">
      <c r="A146" t="s">
        <v>174</v>
      </c>
      <c r="B146" t="s">
        <v>601</v>
      </c>
      <c r="C146" t="s">
        <v>1028</v>
      </c>
      <c r="D146" t="s">
        <v>1302</v>
      </c>
      <c r="E146">
        <v>2</v>
      </c>
      <c r="F146">
        <v>416</v>
      </c>
      <c r="G146">
        <v>4350</v>
      </c>
      <c r="H146" s="1">
        <v>46189</v>
      </c>
      <c r="I146" s="1">
        <v>46140</v>
      </c>
      <c r="J146">
        <v>5000</v>
      </c>
      <c r="K146">
        <v>2000</v>
      </c>
      <c r="L146">
        <v>7000</v>
      </c>
      <c r="M146">
        <v>3122</v>
      </c>
      <c r="N146">
        <v>1228</v>
      </c>
      <c r="O146">
        <v>438</v>
      </c>
      <c r="P146">
        <v>416</v>
      </c>
      <c r="Q146" s="10">
        <f t="shared" si="2"/>
        <v>416</v>
      </c>
      <c r="R146" t="s">
        <v>1322</v>
      </c>
    </row>
    <row r="147" spans="1:18" x14ac:dyDescent="0.25">
      <c r="A147" t="s">
        <v>175</v>
      </c>
      <c r="B147" t="s">
        <v>602</v>
      </c>
      <c r="C147" t="s">
        <v>1029</v>
      </c>
      <c r="D147" t="s">
        <v>1302</v>
      </c>
      <c r="E147">
        <v>15</v>
      </c>
      <c r="F147">
        <v>891</v>
      </c>
      <c r="G147">
        <v>4825</v>
      </c>
      <c r="H147" s="1">
        <v>46176</v>
      </c>
      <c r="I147" s="1">
        <v>46141</v>
      </c>
      <c r="J147">
        <v>5000</v>
      </c>
      <c r="K147">
        <v>2000</v>
      </c>
      <c r="L147">
        <v>7000</v>
      </c>
      <c r="M147">
        <v>3450</v>
      </c>
      <c r="N147">
        <v>1375</v>
      </c>
      <c r="O147">
        <v>438</v>
      </c>
      <c r="P147">
        <v>891</v>
      </c>
      <c r="Q147" s="10">
        <f t="shared" si="2"/>
        <v>891</v>
      </c>
      <c r="R147" t="s">
        <v>1322</v>
      </c>
    </row>
    <row r="148" spans="1:18" x14ac:dyDescent="0.25">
      <c r="A148" t="s">
        <v>176</v>
      </c>
      <c r="B148" t="s">
        <v>603</v>
      </c>
      <c r="C148" t="s">
        <v>1030</v>
      </c>
      <c r="D148" t="s">
        <v>1299</v>
      </c>
      <c r="E148">
        <v>15</v>
      </c>
      <c r="F148">
        <v>7645</v>
      </c>
      <c r="G148">
        <v>10270</v>
      </c>
      <c r="H148" s="1">
        <v>46176</v>
      </c>
      <c r="I148" s="1">
        <v>46141</v>
      </c>
      <c r="J148">
        <v>15000</v>
      </c>
      <c r="K148">
        <v>6000</v>
      </c>
      <c r="L148">
        <v>21000</v>
      </c>
      <c r="M148">
        <v>7500</v>
      </c>
      <c r="N148">
        <v>2770</v>
      </c>
      <c r="O148">
        <v>2625</v>
      </c>
      <c r="P148">
        <v>7645</v>
      </c>
      <c r="Q148" s="10">
        <f t="shared" si="2"/>
        <v>7645</v>
      </c>
      <c r="R148" t="s">
        <v>1322</v>
      </c>
    </row>
    <row r="149" spans="1:18" x14ac:dyDescent="0.25">
      <c r="A149" t="s">
        <v>177</v>
      </c>
      <c r="B149" t="s">
        <v>604</v>
      </c>
      <c r="C149" t="s">
        <v>1031</v>
      </c>
      <c r="D149" t="s">
        <v>1299</v>
      </c>
      <c r="E149">
        <v>8</v>
      </c>
      <c r="F149">
        <v>5000</v>
      </c>
      <c r="G149">
        <v>10250</v>
      </c>
      <c r="H149" s="1">
        <v>46183</v>
      </c>
      <c r="I149" s="1">
        <v>46148</v>
      </c>
      <c r="J149">
        <v>15000</v>
      </c>
      <c r="K149">
        <v>6000</v>
      </c>
      <c r="L149">
        <v>21000</v>
      </c>
      <c r="M149">
        <v>7500</v>
      </c>
      <c r="N149">
        <v>2750</v>
      </c>
      <c r="O149">
        <v>2625</v>
      </c>
      <c r="P149">
        <v>5000</v>
      </c>
      <c r="Q149" s="10">
        <f t="shared" si="2"/>
        <v>5000</v>
      </c>
      <c r="R149" t="s">
        <v>1322</v>
      </c>
    </row>
    <row r="150" spans="1:18" x14ac:dyDescent="0.25">
      <c r="A150" t="s">
        <v>178</v>
      </c>
      <c r="B150" t="s">
        <v>605</v>
      </c>
      <c r="C150" t="s">
        <v>1032</v>
      </c>
      <c r="D150" t="s">
        <v>1300</v>
      </c>
      <c r="E150">
        <v>14</v>
      </c>
      <c r="F150">
        <v>4000</v>
      </c>
      <c r="G150">
        <v>4000</v>
      </c>
      <c r="H150" s="1">
        <v>46177</v>
      </c>
      <c r="I150" s="1">
        <v>46149</v>
      </c>
      <c r="J150">
        <v>7000</v>
      </c>
      <c r="K150">
        <v>3010</v>
      </c>
      <c r="L150">
        <v>10010</v>
      </c>
      <c r="M150">
        <v>2998</v>
      </c>
      <c r="N150">
        <v>1002</v>
      </c>
      <c r="O150">
        <v>1669</v>
      </c>
      <c r="P150">
        <v>4000</v>
      </c>
      <c r="Q150" s="10">
        <f t="shared" si="2"/>
        <v>4000</v>
      </c>
      <c r="R150" t="s">
        <v>1322</v>
      </c>
    </row>
    <row r="151" spans="1:18" x14ac:dyDescent="0.25">
      <c r="A151" t="s">
        <v>179</v>
      </c>
      <c r="B151" t="s">
        <v>606</v>
      </c>
      <c r="C151" t="s">
        <v>1033</v>
      </c>
      <c r="D151" t="s">
        <v>1300</v>
      </c>
      <c r="E151">
        <v>13</v>
      </c>
      <c r="F151">
        <v>2500</v>
      </c>
      <c r="G151">
        <v>7750</v>
      </c>
      <c r="H151" s="1">
        <v>46178</v>
      </c>
      <c r="I151" s="1">
        <v>46150</v>
      </c>
      <c r="J151">
        <v>10000</v>
      </c>
      <c r="K151">
        <v>4000</v>
      </c>
      <c r="L151">
        <v>14000</v>
      </c>
      <c r="M151">
        <v>5750</v>
      </c>
      <c r="N151">
        <v>2000</v>
      </c>
      <c r="O151">
        <v>1750</v>
      </c>
      <c r="P151">
        <v>2500</v>
      </c>
      <c r="Q151" s="10">
        <f t="shared" si="2"/>
        <v>2500</v>
      </c>
      <c r="R151" t="s">
        <v>1322</v>
      </c>
    </row>
    <row r="152" spans="1:18" x14ac:dyDescent="0.25">
      <c r="A152" t="s">
        <v>180</v>
      </c>
      <c r="B152" t="s">
        <v>607</v>
      </c>
      <c r="C152" t="s">
        <v>1034</v>
      </c>
      <c r="D152" t="s">
        <v>1300</v>
      </c>
      <c r="E152">
        <v>3</v>
      </c>
      <c r="F152">
        <v>1100</v>
      </c>
      <c r="G152">
        <v>6350</v>
      </c>
      <c r="H152" s="1">
        <v>46188</v>
      </c>
      <c r="I152" s="1">
        <v>46153</v>
      </c>
      <c r="J152">
        <v>10000</v>
      </c>
      <c r="K152">
        <v>4000</v>
      </c>
      <c r="L152">
        <v>14000</v>
      </c>
      <c r="M152">
        <v>4850</v>
      </c>
      <c r="N152">
        <v>1500</v>
      </c>
      <c r="O152">
        <v>1750</v>
      </c>
      <c r="P152">
        <v>1100</v>
      </c>
      <c r="Q152" s="10">
        <f t="shared" si="2"/>
        <v>1100</v>
      </c>
      <c r="R152" t="s">
        <v>1322</v>
      </c>
    </row>
    <row r="153" spans="1:18" x14ac:dyDescent="0.25">
      <c r="A153" t="s">
        <v>181</v>
      </c>
      <c r="B153" t="s">
        <v>608</v>
      </c>
      <c r="C153" t="s">
        <v>1035</v>
      </c>
      <c r="D153" t="s">
        <v>1300</v>
      </c>
      <c r="E153">
        <v>3</v>
      </c>
      <c r="F153">
        <v>100</v>
      </c>
      <c r="G153">
        <v>4960</v>
      </c>
      <c r="H153" s="1">
        <v>46188</v>
      </c>
      <c r="I153" s="1">
        <v>46153</v>
      </c>
      <c r="J153">
        <v>9000</v>
      </c>
      <c r="K153">
        <v>3960</v>
      </c>
      <c r="L153">
        <v>12960</v>
      </c>
      <c r="M153">
        <v>3475</v>
      </c>
      <c r="N153">
        <v>1485</v>
      </c>
      <c r="O153">
        <v>1620</v>
      </c>
      <c r="P153">
        <v>100</v>
      </c>
      <c r="Q153" s="10">
        <f t="shared" si="2"/>
        <v>100</v>
      </c>
      <c r="R153" t="s">
        <v>1322</v>
      </c>
    </row>
    <row r="154" spans="1:18" x14ac:dyDescent="0.25">
      <c r="A154" t="s">
        <v>182</v>
      </c>
      <c r="B154" t="s">
        <v>609</v>
      </c>
      <c r="C154" t="s">
        <v>1036</v>
      </c>
      <c r="D154" t="s">
        <v>1299</v>
      </c>
      <c r="E154">
        <v>2</v>
      </c>
      <c r="F154">
        <v>2325</v>
      </c>
      <c r="G154">
        <v>10200</v>
      </c>
      <c r="H154" s="1">
        <v>46189</v>
      </c>
      <c r="I154" s="1">
        <v>46154</v>
      </c>
      <c r="J154">
        <v>15000</v>
      </c>
      <c r="K154">
        <v>6000</v>
      </c>
      <c r="L154">
        <v>21000</v>
      </c>
      <c r="M154">
        <v>7500</v>
      </c>
      <c r="N154">
        <v>2700</v>
      </c>
      <c r="O154">
        <v>2625</v>
      </c>
      <c r="P154">
        <v>2325</v>
      </c>
      <c r="Q154" s="10">
        <f t="shared" si="2"/>
        <v>2325</v>
      </c>
      <c r="R154" t="s">
        <v>1322</v>
      </c>
    </row>
    <row r="155" spans="1:18" x14ac:dyDescent="0.25">
      <c r="A155" t="s">
        <v>183</v>
      </c>
      <c r="B155" t="s">
        <v>610</v>
      </c>
      <c r="C155" t="s">
        <v>1037</v>
      </c>
      <c r="D155" t="s">
        <v>1300</v>
      </c>
      <c r="E155">
        <v>2</v>
      </c>
      <c r="F155">
        <v>1700</v>
      </c>
      <c r="G155">
        <v>6950</v>
      </c>
      <c r="H155" s="1">
        <v>46189</v>
      </c>
      <c r="I155" s="1">
        <v>46154</v>
      </c>
      <c r="J155">
        <v>10000</v>
      </c>
      <c r="K155">
        <v>4000</v>
      </c>
      <c r="L155">
        <v>14000</v>
      </c>
      <c r="M155">
        <v>5000</v>
      </c>
      <c r="N155">
        <v>1950</v>
      </c>
      <c r="O155">
        <v>1750</v>
      </c>
      <c r="P155">
        <v>1700</v>
      </c>
      <c r="Q155" s="10">
        <f t="shared" si="2"/>
        <v>1700</v>
      </c>
      <c r="R155" t="s">
        <v>1322</v>
      </c>
    </row>
    <row r="156" spans="1:18" x14ac:dyDescent="0.25">
      <c r="A156" t="s">
        <v>184</v>
      </c>
      <c r="B156" t="s">
        <v>611</v>
      </c>
      <c r="C156" t="s">
        <v>1038</v>
      </c>
      <c r="D156" t="s">
        <v>1300</v>
      </c>
      <c r="E156">
        <v>8</v>
      </c>
      <c r="F156">
        <v>2665</v>
      </c>
      <c r="G156">
        <v>4330</v>
      </c>
      <c r="H156" s="1">
        <v>46183</v>
      </c>
      <c r="I156" s="1">
        <v>46155</v>
      </c>
      <c r="J156">
        <v>7000</v>
      </c>
      <c r="K156">
        <v>3010</v>
      </c>
      <c r="L156">
        <v>10010</v>
      </c>
      <c r="M156">
        <v>3328</v>
      </c>
      <c r="N156">
        <v>1002</v>
      </c>
      <c r="O156">
        <v>1669</v>
      </c>
      <c r="P156">
        <v>2665</v>
      </c>
      <c r="Q156" s="10">
        <f t="shared" si="2"/>
        <v>2665</v>
      </c>
      <c r="R156" t="s">
        <v>1322</v>
      </c>
    </row>
    <row r="157" spans="1:18" x14ac:dyDescent="0.25">
      <c r="A157" t="s">
        <v>185</v>
      </c>
      <c r="B157" t="s">
        <v>612</v>
      </c>
      <c r="C157" t="s">
        <v>1039</v>
      </c>
      <c r="D157" t="s">
        <v>1299</v>
      </c>
      <c r="E157">
        <v>8</v>
      </c>
      <c r="F157">
        <v>5175</v>
      </c>
      <c r="G157">
        <v>13050</v>
      </c>
      <c r="H157" s="1">
        <v>46183</v>
      </c>
      <c r="I157" s="1">
        <v>46155</v>
      </c>
      <c r="J157">
        <v>15000</v>
      </c>
      <c r="K157">
        <v>6000</v>
      </c>
      <c r="L157">
        <v>21000</v>
      </c>
      <c r="M157">
        <v>9375</v>
      </c>
      <c r="N157">
        <v>3675</v>
      </c>
      <c r="O157">
        <v>2625</v>
      </c>
      <c r="P157">
        <v>5175</v>
      </c>
      <c r="Q157" s="10">
        <f t="shared" si="2"/>
        <v>5175</v>
      </c>
      <c r="R157" t="s">
        <v>1322</v>
      </c>
    </row>
    <row r="158" spans="1:18" x14ac:dyDescent="0.25">
      <c r="A158" t="s">
        <v>186</v>
      </c>
      <c r="B158" t="s">
        <v>613</v>
      </c>
      <c r="C158" t="s">
        <v>1040</v>
      </c>
      <c r="D158" t="s">
        <v>1300</v>
      </c>
      <c r="E158">
        <v>3</v>
      </c>
      <c r="F158">
        <v>400</v>
      </c>
      <c r="G158">
        <v>6400</v>
      </c>
      <c r="H158" s="1">
        <v>46188</v>
      </c>
      <c r="I158" s="1">
        <v>46160</v>
      </c>
      <c r="J158">
        <v>8000</v>
      </c>
      <c r="K158">
        <v>4000</v>
      </c>
      <c r="L158">
        <v>12000</v>
      </c>
      <c r="M158">
        <v>4400</v>
      </c>
      <c r="N158">
        <v>2000</v>
      </c>
      <c r="O158">
        <v>1500</v>
      </c>
      <c r="P158">
        <v>400</v>
      </c>
      <c r="Q158" s="10">
        <f t="shared" si="2"/>
        <v>400</v>
      </c>
      <c r="R158" t="s">
        <v>1322</v>
      </c>
    </row>
    <row r="159" spans="1:18" x14ac:dyDescent="0.25">
      <c r="A159" t="s">
        <v>187</v>
      </c>
      <c r="B159" t="s">
        <v>614</v>
      </c>
      <c r="C159" t="s">
        <v>1041</v>
      </c>
      <c r="D159" t="s">
        <v>1300</v>
      </c>
      <c r="E159">
        <v>8</v>
      </c>
      <c r="F159">
        <v>3250</v>
      </c>
      <c r="G159">
        <v>10250</v>
      </c>
      <c r="H159" s="1">
        <v>46183</v>
      </c>
      <c r="I159" s="1">
        <v>46162</v>
      </c>
      <c r="J159">
        <v>10000</v>
      </c>
      <c r="K159">
        <v>4000</v>
      </c>
      <c r="L159">
        <v>14000</v>
      </c>
      <c r="M159">
        <v>7500</v>
      </c>
      <c r="N159">
        <v>2750</v>
      </c>
      <c r="O159">
        <v>1750</v>
      </c>
      <c r="P159">
        <v>3250</v>
      </c>
      <c r="Q159" s="10">
        <f t="shared" si="2"/>
        <v>3250</v>
      </c>
      <c r="R159" t="s">
        <v>1322</v>
      </c>
    </row>
    <row r="160" spans="1:18" x14ac:dyDescent="0.25">
      <c r="A160" t="s">
        <v>188</v>
      </c>
      <c r="B160" t="s">
        <v>615</v>
      </c>
      <c r="C160" t="s">
        <v>1042</v>
      </c>
      <c r="D160" t="s">
        <v>1300</v>
      </c>
      <c r="E160">
        <v>7</v>
      </c>
      <c r="F160">
        <v>2000</v>
      </c>
      <c r="G160">
        <v>5000</v>
      </c>
      <c r="H160" s="1">
        <v>46184</v>
      </c>
      <c r="I160" s="1">
        <v>46163</v>
      </c>
      <c r="J160">
        <v>6000</v>
      </c>
      <c r="K160">
        <v>3000</v>
      </c>
      <c r="L160">
        <v>9000</v>
      </c>
      <c r="M160">
        <v>3500</v>
      </c>
      <c r="N160">
        <v>1500</v>
      </c>
      <c r="O160">
        <v>1500</v>
      </c>
      <c r="P160">
        <v>2000</v>
      </c>
      <c r="Q160" s="10">
        <f t="shared" si="2"/>
        <v>2000</v>
      </c>
      <c r="R160" t="s">
        <v>1322</v>
      </c>
    </row>
    <row r="161" spans="1:18" x14ac:dyDescent="0.25">
      <c r="A161" t="s">
        <v>189</v>
      </c>
      <c r="B161" t="s">
        <v>616</v>
      </c>
      <c r="C161" t="s">
        <v>1043</v>
      </c>
      <c r="D161" t="s">
        <v>1300</v>
      </c>
      <c r="E161">
        <v>1</v>
      </c>
      <c r="F161">
        <v>1500</v>
      </c>
      <c r="G161">
        <v>9000</v>
      </c>
      <c r="H161" s="1">
        <v>46190</v>
      </c>
      <c r="I161" s="1">
        <v>46183</v>
      </c>
      <c r="J161">
        <v>6000</v>
      </c>
      <c r="K161">
        <v>3000</v>
      </c>
      <c r="L161">
        <v>9000</v>
      </c>
      <c r="M161">
        <v>6000</v>
      </c>
      <c r="N161">
        <v>3000</v>
      </c>
      <c r="O161">
        <v>1500</v>
      </c>
      <c r="P161">
        <v>1500</v>
      </c>
      <c r="Q161" s="10">
        <f t="shared" si="2"/>
        <v>1500</v>
      </c>
      <c r="R161" t="s">
        <v>1322</v>
      </c>
    </row>
    <row r="162" spans="1:18" x14ac:dyDescent="0.25">
      <c r="A162" t="s">
        <v>190</v>
      </c>
      <c r="B162" t="s">
        <v>617</v>
      </c>
      <c r="C162" t="s">
        <v>1044</v>
      </c>
      <c r="D162" t="s">
        <v>1302</v>
      </c>
      <c r="E162">
        <v>14</v>
      </c>
      <c r="F162">
        <v>1470</v>
      </c>
      <c r="G162">
        <v>4270</v>
      </c>
      <c r="H162" s="1">
        <v>46177</v>
      </c>
      <c r="I162" s="1">
        <v>46107</v>
      </c>
      <c r="J162">
        <v>8000</v>
      </c>
      <c r="K162">
        <v>3200</v>
      </c>
      <c r="L162">
        <v>11200</v>
      </c>
      <c r="M162">
        <v>3070</v>
      </c>
      <c r="N162">
        <v>1200</v>
      </c>
      <c r="O162">
        <v>700</v>
      </c>
      <c r="P162">
        <v>1470</v>
      </c>
      <c r="Q162" s="10">
        <f t="shared" si="2"/>
        <v>1470</v>
      </c>
      <c r="R162" t="s">
        <v>1322</v>
      </c>
    </row>
    <row r="163" spans="1:18" x14ac:dyDescent="0.25">
      <c r="A163" t="s">
        <v>191</v>
      </c>
      <c r="B163" t="s">
        <v>618</v>
      </c>
      <c r="C163" t="s">
        <v>1045</v>
      </c>
      <c r="D163" t="s">
        <v>1302</v>
      </c>
      <c r="E163">
        <v>7</v>
      </c>
      <c r="F163">
        <v>621</v>
      </c>
      <c r="G163">
        <v>2365</v>
      </c>
      <c r="H163" s="1">
        <v>46184</v>
      </c>
      <c r="I163" s="1">
        <v>46107</v>
      </c>
      <c r="J163">
        <v>5000</v>
      </c>
      <c r="K163">
        <v>2000</v>
      </c>
      <c r="L163">
        <v>7000</v>
      </c>
      <c r="M163">
        <v>1740</v>
      </c>
      <c r="N163">
        <v>625</v>
      </c>
      <c r="O163">
        <v>438</v>
      </c>
      <c r="P163">
        <v>621</v>
      </c>
      <c r="Q163" s="10">
        <f t="shared" si="2"/>
        <v>621</v>
      </c>
      <c r="R163" t="s">
        <v>1322</v>
      </c>
    </row>
    <row r="164" spans="1:18" x14ac:dyDescent="0.25">
      <c r="A164" t="s">
        <v>192</v>
      </c>
      <c r="B164" t="s">
        <v>619</v>
      </c>
      <c r="C164" t="s">
        <v>1046</v>
      </c>
      <c r="D164" t="s">
        <v>1300</v>
      </c>
      <c r="E164">
        <v>7</v>
      </c>
      <c r="F164">
        <v>3500</v>
      </c>
      <c r="G164">
        <v>10500</v>
      </c>
      <c r="H164" s="1">
        <v>46184</v>
      </c>
      <c r="I164" s="1">
        <v>46163</v>
      </c>
      <c r="J164">
        <v>10000</v>
      </c>
      <c r="K164">
        <v>4000</v>
      </c>
      <c r="L164">
        <v>14000</v>
      </c>
      <c r="M164">
        <v>7500</v>
      </c>
      <c r="N164">
        <v>3000</v>
      </c>
      <c r="O164">
        <v>1750</v>
      </c>
      <c r="P164">
        <v>3500</v>
      </c>
      <c r="Q164" s="10">
        <f t="shared" si="2"/>
        <v>3500</v>
      </c>
      <c r="R164" t="s">
        <v>1322</v>
      </c>
    </row>
    <row r="165" spans="1:18" x14ac:dyDescent="0.25">
      <c r="A165" t="s">
        <v>193</v>
      </c>
      <c r="B165" t="s">
        <v>620</v>
      </c>
      <c r="C165" t="s">
        <v>1047</v>
      </c>
      <c r="D165" t="s">
        <v>1300</v>
      </c>
      <c r="E165">
        <v>2</v>
      </c>
      <c r="F165">
        <v>1700</v>
      </c>
      <c r="G165">
        <v>10450</v>
      </c>
      <c r="H165" s="1">
        <v>46189</v>
      </c>
      <c r="I165" s="1">
        <v>46168</v>
      </c>
      <c r="J165">
        <v>10000</v>
      </c>
      <c r="K165">
        <v>4000</v>
      </c>
      <c r="L165">
        <v>14000</v>
      </c>
      <c r="M165">
        <v>7500</v>
      </c>
      <c r="N165">
        <v>2950</v>
      </c>
      <c r="O165">
        <v>1750</v>
      </c>
      <c r="P165">
        <v>1700</v>
      </c>
      <c r="Q165" s="10">
        <f t="shared" si="2"/>
        <v>1700</v>
      </c>
      <c r="R165" t="s">
        <v>1322</v>
      </c>
    </row>
    <row r="166" spans="1:18" x14ac:dyDescent="0.25">
      <c r="A166" t="s">
        <v>194</v>
      </c>
      <c r="B166" t="s">
        <v>621</v>
      </c>
      <c r="C166" t="s">
        <v>1048</v>
      </c>
      <c r="D166" t="s">
        <v>1300</v>
      </c>
      <c r="E166">
        <v>3</v>
      </c>
      <c r="F166">
        <v>1750</v>
      </c>
      <c r="G166">
        <v>14000</v>
      </c>
      <c r="H166" s="1">
        <v>46188</v>
      </c>
      <c r="I166" s="1">
        <v>46181</v>
      </c>
      <c r="J166">
        <v>10000</v>
      </c>
      <c r="K166">
        <v>4000</v>
      </c>
      <c r="L166">
        <v>14000</v>
      </c>
      <c r="M166">
        <v>10000</v>
      </c>
      <c r="N166">
        <v>4000</v>
      </c>
      <c r="O166">
        <v>1750</v>
      </c>
      <c r="P166">
        <v>1750</v>
      </c>
      <c r="Q166" s="10">
        <f t="shared" si="2"/>
        <v>1750</v>
      </c>
      <c r="R166" t="s">
        <v>1322</v>
      </c>
    </row>
    <row r="167" spans="1:18" x14ac:dyDescent="0.25">
      <c r="A167" t="s">
        <v>195</v>
      </c>
      <c r="B167" t="s">
        <v>622</v>
      </c>
      <c r="C167" t="s">
        <v>1049</v>
      </c>
      <c r="D167" t="s">
        <v>1302</v>
      </c>
      <c r="E167">
        <v>1</v>
      </c>
      <c r="F167">
        <v>38</v>
      </c>
      <c r="G167">
        <v>6600</v>
      </c>
      <c r="H167" s="1">
        <v>46190</v>
      </c>
      <c r="I167" s="1">
        <v>46183</v>
      </c>
      <c r="J167">
        <v>5000</v>
      </c>
      <c r="K167">
        <v>2000</v>
      </c>
      <c r="L167">
        <v>7000</v>
      </c>
      <c r="M167">
        <v>4725</v>
      </c>
      <c r="N167">
        <v>1875</v>
      </c>
      <c r="O167">
        <v>438</v>
      </c>
      <c r="P167">
        <v>38</v>
      </c>
      <c r="Q167" s="10">
        <f t="shared" si="2"/>
        <v>38</v>
      </c>
      <c r="R167" t="s">
        <v>1322</v>
      </c>
    </row>
    <row r="168" spans="1:18" x14ac:dyDescent="0.25">
      <c r="A168" t="s">
        <v>196</v>
      </c>
      <c r="B168" t="s">
        <v>623</v>
      </c>
      <c r="C168" t="s">
        <v>1050</v>
      </c>
      <c r="D168" t="s">
        <v>1300</v>
      </c>
      <c r="E168">
        <v>1</v>
      </c>
      <c r="F168">
        <v>50</v>
      </c>
      <c r="G168">
        <v>7550</v>
      </c>
      <c r="H168" s="1">
        <v>46190</v>
      </c>
      <c r="I168" s="1">
        <v>46183</v>
      </c>
      <c r="J168">
        <v>6000</v>
      </c>
      <c r="K168">
        <v>3000</v>
      </c>
      <c r="L168">
        <v>9000</v>
      </c>
      <c r="M168">
        <v>5050</v>
      </c>
      <c r="N168">
        <v>2500</v>
      </c>
      <c r="O168">
        <v>1500</v>
      </c>
      <c r="P168">
        <v>50</v>
      </c>
      <c r="Q168" s="10">
        <f t="shared" si="2"/>
        <v>50</v>
      </c>
      <c r="R168" t="s">
        <v>1322</v>
      </c>
    </row>
    <row r="169" spans="1:18" x14ac:dyDescent="0.25">
      <c r="A169" t="s">
        <v>197</v>
      </c>
      <c r="B169" t="s">
        <v>624</v>
      </c>
      <c r="C169" t="s">
        <v>1051</v>
      </c>
      <c r="D169" t="s">
        <v>1301</v>
      </c>
      <c r="E169">
        <v>17</v>
      </c>
      <c r="F169">
        <v>3075</v>
      </c>
      <c r="G169">
        <v>4575</v>
      </c>
      <c r="H169" s="1">
        <v>46174</v>
      </c>
      <c r="I169" s="1">
        <v>46167</v>
      </c>
      <c r="J169">
        <v>5000</v>
      </c>
      <c r="K169">
        <v>1000</v>
      </c>
      <c r="L169">
        <v>6000</v>
      </c>
      <c r="M169">
        <v>3825</v>
      </c>
      <c r="N169">
        <v>750</v>
      </c>
      <c r="O169">
        <v>1500</v>
      </c>
      <c r="P169">
        <v>3075</v>
      </c>
      <c r="Q169" s="10">
        <f t="shared" si="2"/>
        <v>3075</v>
      </c>
      <c r="R169" t="s">
        <v>1322</v>
      </c>
    </row>
    <row r="170" spans="1:18" x14ac:dyDescent="0.25">
      <c r="A170" t="s">
        <v>198</v>
      </c>
      <c r="B170" t="s">
        <v>625</v>
      </c>
      <c r="C170" t="s">
        <v>1052</v>
      </c>
      <c r="D170" t="s">
        <v>1299</v>
      </c>
      <c r="E170">
        <v>3</v>
      </c>
      <c r="F170">
        <v>200</v>
      </c>
      <c r="G170">
        <v>3450</v>
      </c>
      <c r="H170" s="1">
        <v>46188</v>
      </c>
      <c r="I170" s="1">
        <v>46153</v>
      </c>
      <c r="J170">
        <v>15000</v>
      </c>
      <c r="K170">
        <v>4500</v>
      </c>
      <c r="L170">
        <v>19500</v>
      </c>
      <c r="M170">
        <v>2700</v>
      </c>
      <c r="N170">
        <v>750</v>
      </c>
      <c r="O170">
        <v>3250</v>
      </c>
      <c r="P170">
        <v>200</v>
      </c>
      <c r="Q170" s="10">
        <f t="shared" si="2"/>
        <v>200</v>
      </c>
      <c r="R170" t="s">
        <v>1323</v>
      </c>
    </row>
    <row r="171" spans="1:18" x14ac:dyDescent="0.25">
      <c r="A171" t="s">
        <v>199</v>
      </c>
      <c r="B171" t="s">
        <v>626</v>
      </c>
      <c r="C171" t="s">
        <v>1053</v>
      </c>
      <c r="D171" t="s">
        <v>1311</v>
      </c>
      <c r="E171">
        <v>3</v>
      </c>
      <c r="F171">
        <v>6000</v>
      </c>
      <c r="G171">
        <v>6000</v>
      </c>
      <c r="H171" s="1">
        <v>46188</v>
      </c>
      <c r="I171" s="1">
        <v>46160</v>
      </c>
      <c r="J171">
        <v>20000</v>
      </c>
      <c r="K171">
        <v>4000</v>
      </c>
      <c r="L171">
        <v>24000</v>
      </c>
      <c r="M171">
        <v>5000</v>
      </c>
      <c r="N171">
        <v>1000</v>
      </c>
      <c r="O171">
        <v>6000</v>
      </c>
      <c r="P171">
        <v>6000</v>
      </c>
      <c r="Q171" s="10">
        <f t="shared" si="2"/>
        <v>6000</v>
      </c>
      <c r="R171" t="s">
        <v>1323</v>
      </c>
    </row>
    <row r="172" spans="1:18" x14ac:dyDescent="0.25">
      <c r="A172" t="s">
        <v>200</v>
      </c>
      <c r="B172" t="s">
        <v>627</v>
      </c>
      <c r="C172" t="s">
        <v>1054</v>
      </c>
      <c r="D172" t="s">
        <v>1300</v>
      </c>
      <c r="E172">
        <v>1</v>
      </c>
      <c r="F172">
        <v>667</v>
      </c>
      <c r="G172">
        <v>9333</v>
      </c>
      <c r="H172" s="1">
        <v>46190</v>
      </c>
      <c r="I172" s="1">
        <v>46176</v>
      </c>
      <c r="J172">
        <v>10000</v>
      </c>
      <c r="K172">
        <v>3000</v>
      </c>
      <c r="L172">
        <v>13000</v>
      </c>
      <c r="M172">
        <v>7333</v>
      </c>
      <c r="N172">
        <v>2000</v>
      </c>
      <c r="O172">
        <v>2167</v>
      </c>
      <c r="P172">
        <v>667</v>
      </c>
      <c r="Q172" s="10">
        <f t="shared" si="2"/>
        <v>667</v>
      </c>
      <c r="R172" t="s">
        <v>1323</v>
      </c>
    </row>
    <row r="173" spans="1:18" x14ac:dyDescent="0.25">
      <c r="A173" t="s">
        <v>201</v>
      </c>
      <c r="B173" t="s">
        <v>628</v>
      </c>
      <c r="C173" t="s">
        <v>1055</v>
      </c>
      <c r="D173" t="s">
        <v>1300</v>
      </c>
      <c r="E173">
        <v>1</v>
      </c>
      <c r="F173">
        <v>1500</v>
      </c>
      <c r="G173">
        <v>9000</v>
      </c>
      <c r="H173" s="1">
        <v>46190</v>
      </c>
      <c r="I173" s="1">
        <v>46183</v>
      </c>
      <c r="J173">
        <v>6000</v>
      </c>
      <c r="K173">
        <v>3000</v>
      </c>
      <c r="L173">
        <v>9000</v>
      </c>
      <c r="M173">
        <v>6000</v>
      </c>
      <c r="N173">
        <v>3000</v>
      </c>
      <c r="O173">
        <v>1500</v>
      </c>
      <c r="P173">
        <v>1500</v>
      </c>
      <c r="Q173" s="10">
        <f t="shared" si="2"/>
        <v>1500</v>
      </c>
      <c r="R173" t="s">
        <v>1323</v>
      </c>
    </row>
    <row r="174" spans="1:18" x14ac:dyDescent="0.25">
      <c r="A174" t="s">
        <v>202</v>
      </c>
      <c r="B174" t="s">
        <v>629</v>
      </c>
      <c r="C174" t="s">
        <v>1056</v>
      </c>
      <c r="D174" t="s">
        <v>1303</v>
      </c>
      <c r="E174">
        <v>5</v>
      </c>
      <c r="F174">
        <v>18111</v>
      </c>
      <c r="G174">
        <v>36246</v>
      </c>
      <c r="H174" s="1">
        <v>46186</v>
      </c>
      <c r="I174" s="1">
        <v>46035</v>
      </c>
      <c r="J174">
        <v>80000</v>
      </c>
      <c r="K174">
        <v>28800</v>
      </c>
      <c r="L174">
        <v>108800</v>
      </c>
      <c r="M174">
        <v>26668</v>
      </c>
      <c r="N174">
        <v>9578</v>
      </c>
      <c r="O174">
        <v>18133</v>
      </c>
      <c r="P174">
        <v>18111</v>
      </c>
      <c r="Q174" s="10">
        <f t="shared" si="2"/>
        <v>18111</v>
      </c>
      <c r="R174" t="s">
        <v>1323</v>
      </c>
    </row>
    <row r="175" spans="1:18" x14ac:dyDescent="0.25">
      <c r="A175" t="s">
        <v>203</v>
      </c>
      <c r="B175" t="s">
        <v>630</v>
      </c>
      <c r="C175" t="s">
        <v>1057</v>
      </c>
      <c r="D175" t="s">
        <v>1300</v>
      </c>
      <c r="E175">
        <v>22</v>
      </c>
      <c r="F175">
        <v>7750</v>
      </c>
      <c r="G175">
        <v>7750</v>
      </c>
      <c r="H175" s="1">
        <v>46169</v>
      </c>
      <c r="I175" s="1">
        <v>46148</v>
      </c>
      <c r="J175">
        <v>10000</v>
      </c>
      <c r="K175">
        <v>3000</v>
      </c>
      <c r="L175">
        <v>13000</v>
      </c>
      <c r="M175">
        <v>6250</v>
      </c>
      <c r="N175">
        <v>1500</v>
      </c>
      <c r="O175">
        <v>2167</v>
      </c>
      <c r="P175">
        <v>7750</v>
      </c>
      <c r="Q175" s="10">
        <f t="shared" si="2"/>
        <v>7750</v>
      </c>
      <c r="R175" t="s">
        <v>1323</v>
      </c>
    </row>
    <row r="176" spans="1:18" x14ac:dyDescent="0.25">
      <c r="A176" t="s">
        <v>204</v>
      </c>
      <c r="B176" t="s">
        <v>631</v>
      </c>
      <c r="C176" t="s">
        <v>1058</v>
      </c>
      <c r="D176" t="s">
        <v>1310</v>
      </c>
      <c r="E176">
        <v>3</v>
      </c>
      <c r="F176">
        <v>1125</v>
      </c>
      <c r="G176">
        <v>18000</v>
      </c>
      <c r="H176" s="1">
        <v>46188</v>
      </c>
      <c r="I176" s="1">
        <v>46167</v>
      </c>
      <c r="J176">
        <v>25000</v>
      </c>
      <c r="K176">
        <v>8750</v>
      </c>
      <c r="L176">
        <v>33750</v>
      </c>
      <c r="M176">
        <v>13624</v>
      </c>
      <c r="N176">
        <v>4376</v>
      </c>
      <c r="O176">
        <v>5625</v>
      </c>
      <c r="P176">
        <v>1125</v>
      </c>
      <c r="Q176" s="10">
        <f t="shared" si="2"/>
        <v>1125</v>
      </c>
      <c r="R176" t="s">
        <v>1323</v>
      </c>
    </row>
    <row r="177" spans="1:18" x14ac:dyDescent="0.25">
      <c r="A177" t="s">
        <v>205</v>
      </c>
      <c r="B177" t="s">
        <v>632</v>
      </c>
      <c r="C177" t="s">
        <v>1059</v>
      </c>
      <c r="D177" t="s">
        <v>1300</v>
      </c>
      <c r="E177">
        <v>1</v>
      </c>
      <c r="F177">
        <v>2167</v>
      </c>
      <c r="G177">
        <v>10833</v>
      </c>
      <c r="H177" s="1">
        <v>46190</v>
      </c>
      <c r="I177" s="1">
        <v>46176</v>
      </c>
      <c r="J177">
        <v>10000</v>
      </c>
      <c r="K177">
        <v>3000</v>
      </c>
      <c r="L177">
        <v>13000</v>
      </c>
      <c r="M177">
        <v>8333</v>
      </c>
      <c r="N177">
        <v>2500</v>
      </c>
      <c r="O177">
        <v>2167</v>
      </c>
      <c r="P177">
        <v>2167</v>
      </c>
      <c r="Q177" s="10">
        <f t="shared" si="2"/>
        <v>2167</v>
      </c>
      <c r="R177" t="s">
        <v>1323</v>
      </c>
    </row>
    <row r="178" spans="1:18" x14ac:dyDescent="0.25">
      <c r="A178" t="s">
        <v>206</v>
      </c>
      <c r="B178" t="s">
        <v>633</v>
      </c>
      <c r="C178" t="s">
        <v>1060</v>
      </c>
      <c r="D178" t="s">
        <v>1300</v>
      </c>
      <c r="E178">
        <v>1</v>
      </c>
      <c r="F178">
        <v>1833</v>
      </c>
      <c r="G178">
        <v>11000</v>
      </c>
      <c r="H178" s="1">
        <v>46190</v>
      </c>
      <c r="I178" s="1">
        <v>46183</v>
      </c>
      <c r="J178">
        <v>8000</v>
      </c>
      <c r="K178">
        <v>3000</v>
      </c>
      <c r="L178">
        <v>11000</v>
      </c>
      <c r="M178">
        <v>8000</v>
      </c>
      <c r="N178">
        <v>3000</v>
      </c>
      <c r="O178">
        <v>1833</v>
      </c>
      <c r="P178">
        <v>1833</v>
      </c>
      <c r="Q178" s="10">
        <f t="shared" si="2"/>
        <v>1833</v>
      </c>
      <c r="R178" t="s">
        <v>1323</v>
      </c>
    </row>
    <row r="179" spans="1:18" x14ac:dyDescent="0.25">
      <c r="A179" t="s">
        <v>207</v>
      </c>
      <c r="B179" t="s">
        <v>634</v>
      </c>
      <c r="C179" t="s">
        <v>1061</v>
      </c>
      <c r="D179" t="s">
        <v>1309</v>
      </c>
      <c r="E179">
        <v>16</v>
      </c>
      <c r="F179">
        <v>3309</v>
      </c>
      <c r="G179">
        <v>3309</v>
      </c>
      <c r="H179" s="1">
        <v>46175</v>
      </c>
      <c r="I179" s="1">
        <v>46014</v>
      </c>
      <c r="J179">
        <v>25000</v>
      </c>
      <c r="K179">
        <v>15000</v>
      </c>
      <c r="L179">
        <v>40000</v>
      </c>
      <c r="M179">
        <v>2076</v>
      </c>
      <c r="N179">
        <v>1233</v>
      </c>
      <c r="O179">
        <v>1667</v>
      </c>
      <c r="P179">
        <v>3309</v>
      </c>
      <c r="Q179" s="10">
        <f t="shared" si="2"/>
        <v>3309</v>
      </c>
      <c r="R179" t="s">
        <v>1323</v>
      </c>
    </row>
    <row r="180" spans="1:18" x14ac:dyDescent="0.25">
      <c r="A180" t="s">
        <v>208</v>
      </c>
      <c r="B180" t="s">
        <v>635</v>
      </c>
      <c r="C180" t="s">
        <v>1062</v>
      </c>
      <c r="D180" t="s">
        <v>1309</v>
      </c>
      <c r="E180">
        <v>2</v>
      </c>
      <c r="F180">
        <v>607</v>
      </c>
      <c r="G180">
        <v>2600</v>
      </c>
      <c r="H180" s="1">
        <v>46189</v>
      </c>
      <c r="I180" s="1">
        <v>46042</v>
      </c>
      <c r="J180">
        <v>10000</v>
      </c>
      <c r="K180">
        <v>6000</v>
      </c>
      <c r="L180">
        <v>16000</v>
      </c>
      <c r="M180">
        <v>1660</v>
      </c>
      <c r="N180">
        <v>940</v>
      </c>
      <c r="O180">
        <v>667</v>
      </c>
      <c r="P180">
        <v>607</v>
      </c>
      <c r="Q180" s="10">
        <f t="shared" si="2"/>
        <v>607</v>
      </c>
      <c r="R180" t="s">
        <v>1323</v>
      </c>
    </row>
    <row r="181" spans="1:18" x14ac:dyDescent="0.25">
      <c r="A181" t="s">
        <v>209</v>
      </c>
      <c r="B181" t="s">
        <v>636</v>
      </c>
      <c r="C181" t="s">
        <v>1063</v>
      </c>
      <c r="D181" t="s">
        <v>1309</v>
      </c>
      <c r="E181">
        <v>9</v>
      </c>
      <c r="F181">
        <v>1307</v>
      </c>
      <c r="G181">
        <v>3300</v>
      </c>
      <c r="H181" s="1">
        <v>46182</v>
      </c>
      <c r="I181" s="1">
        <v>46042</v>
      </c>
      <c r="J181">
        <v>10000</v>
      </c>
      <c r="K181">
        <v>6000</v>
      </c>
      <c r="L181">
        <v>16000</v>
      </c>
      <c r="M181">
        <v>2077</v>
      </c>
      <c r="N181">
        <v>1223</v>
      </c>
      <c r="O181">
        <v>667</v>
      </c>
      <c r="P181">
        <v>1307</v>
      </c>
      <c r="Q181" s="10">
        <f>P181</f>
        <v>1307</v>
      </c>
      <c r="R181" t="s">
        <v>1323</v>
      </c>
    </row>
    <row r="182" spans="1:18" x14ac:dyDescent="0.25">
      <c r="A182" t="s">
        <v>210</v>
      </c>
      <c r="B182" t="s">
        <v>637</v>
      </c>
      <c r="C182" t="s">
        <v>1064</v>
      </c>
      <c r="D182" t="s">
        <v>1300</v>
      </c>
      <c r="E182">
        <v>30</v>
      </c>
      <c r="F182">
        <v>682</v>
      </c>
      <c r="G182">
        <v>682</v>
      </c>
      <c r="H182" s="1">
        <v>46161</v>
      </c>
      <c r="I182" s="1">
        <v>46119</v>
      </c>
      <c r="J182">
        <v>10000</v>
      </c>
      <c r="K182">
        <v>3000</v>
      </c>
      <c r="L182">
        <v>13000</v>
      </c>
      <c r="M182">
        <v>682</v>
      </c>
      <c r="N182">
        <v>0</v>
      </c>
      <c r="O182">
        <v>2167</v>
      </c>
      <c r="P182">
        <v>682</v>
      </c>
      <c r="Q182" s="10">
        <f t="shared" si="2"/>
        <v>682</v>
      </c>
      <c r="R182" t="s">
        <v>1323</v>
      </c>
    </row>
    <row r="183" spans="1:18" x14ac:dyDescent="0.25">
      <c r="A183" t="s">
        <v>211</v>
      </c>
      <c r="B183" t="s">
        <v>638</v>
      </c>
      <c r="C183" t="s">
        <v>1065</v>
      </c>
      <c r="D183" t="s">
        <v>1300</v>
      </c>
      <c r="E183">
        <v>29</v>
      </c>
      <c r="F183">
        <v>950</v>
      </c>
      <c r="G183">
        <v>950</v>
      </c>
      <c r="H183" s="1">
        <v>46162</v>
      </c>
      <c r="I183" s="1">
        <v>46120</v>
      </c>
      <c r="J183">
        <v>10000</v>
      </c>
      <c r="K183">
        <v>3000</v>
      </c>
      <c r="L183">
        <v>13000</v>
      </c>
      <c r="M183">
        <v>950</v>
      </c>
      <c r="N183">
        <v>0</v>
      </c>
      <c r="O183">
        <v>2167</v>
      </c>
      <c r="P183">
        <v>950</v>
      </c>
      <c r="Q183" s="10">
        <f t="shared" si="2"/>
        <v>950</v>
      </c>
      <c r="R183" t="s">
        <v>1323</v>
      </c>
    </row>
    <row r="184" spans="1:18" x14ac:dyDescent="0.25">
      <c r="A184" t="s">
        <v>212</v>
      </c>
      <c r="B184" t="s">
        <v>639</v>
      </c>
      <c r="C184" t="s">
        <v>1066</v>
      </c>
      <c r="D184" t="s">
        <v>1311</v>
      </c>
      <c r="E184">
        <v>7</v>
      </c>
      <c r="F184">
        <v>5000</v>
      </c>
      <c r="G184">
        <v>8500</v>
      </c>
      <c r="H184" s="1">
        <v>46184</v>
      </c>
      <c r="I184" s="1">
        <v>46142</v>
      </c>
      <c r="J184">
        <v>20000</v>
      </c>
      <c r="K184">
        <v>8000</v>
      </c>
      <c r="L184">
        <v>28000</v>
      </c>
      <c r="M184">
        <v>6500</v>
      </c>
      <c r="N184">
        <v>2000</v>
      </c>
      <c r="O184">
        <v>3500</v>
      </c>
      <c r="P184">
        <v>5000</v>
      </c>
      <c r="Q184" s="10">
        <f t="shared" si="2"/>
        <v>5000</v>
      </c>
      <c r="R184" t="s">
        <v>1323</v>
      </c>
    </row>
    <row r="185" spans="1:18" x14ac:dyDescent="0.25">
      <c r="A185" t="s">
        <v>213</v>
      </c>
      <c r="B185" t="s">
        <v>640</v>
      </c>
      <c r="C185" t="s">
        <v>1067</v>
      </c>
      <c r="D185" t="s">
        <v>1300</v>
      </c>
      <c r="E185">
        <v>21</v>
      </c>
      <c r="F185">
        <v>5740</v>
      </c>
      <c r="G185">
        <v>7405</v>
      </c>
      <c r="H185" s="1">
        <v>46170</v>
      </c>
      <c r="I185" s="1">
        <v>46156</v>
      </c>
      <c r="J185">
        <v>7000</v>
      </c>
      <c r="K185">
        <v>3010</v>
      </c>
      <c r="L185">
        <v>10010</v>
      </c>
      <c r="M185">
        <v>5399</v>
      </c>
      <c r="N185">
        <v>2006</v>
      </c>
      <c r="O185">
        <v>1669</v>
      </c>
      <c r="P185">
        <v>5740</v>
      </c>
      <c r="Q185" s="10">
        <f t="shared" si="2"/>
        <v>5740</v>
      </c>
      <c r="R185" t="s">
        <v>1323</v>
      </c>
    </row>
    <row r="186" spans="1:18" x14ac:dyDescent="0.25">
      <c r="A186" t="s">
        <v>214</v>
      </c>
      <c r="B186" t="s">
        <v>641</v>
      </c>
      <c r="C186" t="s">
        <v>1068</v>
      </c>
      <c r="D186" t="s">
        <v>1300</v>
      </c>
      <c r="E186">
        <v>9</v>
      </c>
      <c r="F186">
        <v>2334</v>
      </c>
      <c r="G186">
        <v>8833</v>
      </c>
      <c r="H186" s="1">
        <v>46182</v>
      </c>
      <c r="I186" s="1">
        <v>46168</v>
      </c>
      <c r="J186">
        <v>10000</v>
      </c>
      <c r="K186">
        <v>3000</v>
      </c>
      <c r="L186">
        <v>13000</v>
      </c>
      <c r="M186">
        <v>6833</v>
      </c>
      <c r="N186">
        <v>2000</v>
      </c>
      <c r="O186">
        <v>2167</v>
      </c>
      <c r="P186">
        <v>2334</v>
      </c>
      <c r="Q186" s="10">
        <f t="shared" si="2"/>
        <v>2334</v>
      </c>
      <c r="R186" t="s">
        <v>1323</v>
      </c>
    </row>
    <row r="187" spans="1:18" x14ac:dyDescent="0.25">
      <c r="A187" t="s">
        <v>215</v>
      </c>
      <c r="B187" t="s">
        <v>642</v>
      </c>
      <c r="C187" t="s">
        <v>1069</v>
      </c>
      <c r="D187" t="s">
        <v>1300</v>
      </c>
      <c r="E187">
        <v>1</v>
      </c>
      <c r="F187">
        <v>1504</v>
      </c>
      <c r="G187">
        <v>8176</v>
      </c>
      <c r="H187" s="1">
        <v>46190</v>
      </c>
      <c r="I187" s="1">
        <v>46176</v>
      </c>
      <c r="J187">
        <v>7000</v>
      </c>
      <c r="K187">
        <v>3010</v>
      </c>
      <c r="L187">
        <v>10010</v>
      </c>
      <c r="M187">
        <v>5833</v>
      </c>
      <c r="N187">
        <v>2343</v>
      </c>
      <c r="O187">
        <v>1669</v>
      </c>
      <c r="P187">
        <v>1504</v>
      </c>
      <c r="Q187" s="10">
        <f t="shared" si="2"/>
        <v>1504</v>
      </c>
      <c r="R187" t="s">
        <v>1323</v>
      </c>
    </row>
    <row r="188" spans="1:18" x14ac:dyDescent="0.25">
      <c r="A188" t="s">
        <v>216</v>
      </c>
      <c r="B188" t="s">
        <v>643</v>
      </c>
      <c r="C188" t="s">
        <v>1070</v>
      </c>
      <c r="D188" t="s">
        <v>1300</v>
      </c>
      <c r="E188">
        <v>2</v>
      </c>
      <c r="F188">
        <v>2009</v>
      </c>
      <c r="G188">
        <v>8755</v>
      </c>
      <c r="H188" s="1">
        <v>46189</v>
      </c>
      <c r="I188" s="1">
        <v>46182</v>
      </c>
      <c r="J188">
        <v>7000</v>
      </c>
      <c r="K188">
        <v>1995</v>
      </c>
      <c r="L188">
        <v>8995</v>
      </c>
      <c r="M188">
        <v>7000</v>
      </c>
      <c r="N188">
        <v>1755</v>
      </c>
      <c r="O188">
        <v>2249</v>
      </c>
      <c r="P188">
        <v>2009</v>
      </c>
      <c r="Q188" s="10">
        <f t="shared" si="2"/>
        <v>2009</v>
      </c>
      <c r="R188" t="s">
        <v>1323</v>
      </c>
    </row>
    <row r="189" spans="1:18" x14ac:dyDescent="0.25">
      <c r="A189" t="s">
        <v>217</v>
      </c>
      <c r="B189" t="s">
        <v>644</v>
      </c>
      <c r="C189" t="s">
        <v>1071</v>
      </c>
      <c r="D189" t="s">
        <v>1300</v>
      </c>
      <c r="E189">
        <v>1</v>
      </c>
      <c r="F189">
        <v>2167</v>
      </c>
      <c r="G189">
        <v>13000</v>
      </c>
      <c r="H189" s="1">
        <v>46190</v>
      </c>
      <c r="I189" s="1">
        <v>46183</v>
      </c>
      <c r="J189">
        <v>10000</v>
      </c>
      <c r="K189">
        <v>3000</v>
      </c>
      <c r="L189">
        <v>13000</v>
      </c>
      <c r="M189">
        <v>10000</v>
      </c>
      <c r="N189">
        <v>3000</v>
      </c>
      <c r="O189">
        <v>2167</v>
      </c>
      <c r="P189">
        <v>2167</v>
      </c>
      <c r="Q189" s="10">
        <f t="shared" si="2"/>
        <v>2167</v>
      </c>
      <c r="R189" t="s">
        <v>1323</v>
      </c>
    </row>
    <row r="190" spans="1:18" x14ac:dyDescent="0.25">
      <c r="A190" t="s">
        <v>218</v>
      </c>
      <c r="B190" t="s">
        <v>645</v>
      </c>
      <c r="C190" t="s">
        <v>1072</v>
      </c>
      <c r="D190" t="s">
        <v>1300</v>
      </c>
      <c r="E190">
        <v>1</v>
      </c>
      <c r="F190">
        <v>1669</v>
      </c>
      <c r="G190">
        <v>10010</v>
      </c>
      <c r="H190" s="1">
        <v>46190</v>
      </c>
      <c r="I190" s="1">
        <v>46183</v>
      </c>
      <c r="J190">
        <v>7000</v>
      </c>
      <c r="K190">
        <v>3010</v>
      </c>
      <c r="L190">
        <v>10010</v>
      </c>
      <c r="M190">
        <v>7000</v>
      </c>
      <c r="N190">
        <v>3010</v>
      </c>
      <c r="O190">
        <v>1669</v>
      </c>
      <c r="P190">
        <v>1669</v>
      </c>
      <c r="Q190" s="10">
        <f t="shared" si="2"/>
        <v>1669</v>
      </c>
      <c r="R190" t="s">
        <v>1323</v>
      </c>
    </row>
    <row r="191" spans="1:18" x14ac:dyDescent="0.25">
      <c r="A191" t="s">
        <v>219</v>
      </c>
      <c r="B191" t="s">
        <v>646</v>
      </c>
      <c r="C191" t="s">
        <v>1073</v>
      </c>
      <c r="D191" t="s">
        <v>1300</v>
      </c>
      <c r="E191">
        <v>16</v>
      </c>
      <c r="F191">
        <v>820</v>
      </c>
      <c r="G191">
        <v>820</v>
      </c>
      <c r="H191" s="1">
        <v>46175</v>
      </c>
      <c r="I191" s="1">
        <v>46133</v>
      </c>
      <c r="J191">
        <v>10000</v>
      </c>
      <c r="K191">
        <v>3000</v>
      </c>
      <c r="L191">
        <v>13000</v>
      </c>
      <c r="M191">
        <v>820</v>
      </c>
      <c r="N191">
        <v>0</v>
      </c>
      <c r="O191">
        <v>2167</v>
      </c>
      <c r="P191">
        <v>820</v>
      </c>
      <c r="Q191" s="10">
        <f t="shared" si="2"/>
        <v>820</v>
      </c>
      <c r="R191" t="s">
        <v>1324</v>
      </c>
    </row>
    <row r="192" spans="1:18" x14ac:dyDescent="0.25">
      <c r="A192" t="s">
        <v>220</v>
      </c>
      <c r="B192" t="s">
        <v>647</v>
      </c>
      <c r="C192" t="s">
        <v>1074</v>
      </c>
      <c r="D192" t="s">
        <v>1300</v>
      </c>
      <c r="E192">
        <v>3</v>
      </c>
      <c r="F192">
        <v>65</v>
      </c>
      <c r="G192">
        <v>2230</v>
      </c>
      <c r="H192" s="1">
        <v>46188</v>
      </c>
      <c r="I192" s="1">
        <v>46153</v>
      </c>
      <c r="J192">
        <v>10000</v>
      </c>
      <c r="K192">
        <v>3000</v>
      </c>
      <c r="L192">
        <v>13000</v>
      </c>
      <c r="M192">
        <v>1730</v>
      </c>
      <c r="N192">
        <v>500</v>
      </c>
      <c r="O192">
        <v>2167</v>
      </c>
      <c r="P192">
        <v>65</v>
      </c>
      <c r="Q192" s="10">
        <f t="shared" si="2"/>
        <v>65</v>
      </c>
      <c r="R192" t="s">
        <v>1324</v>
      </c>
    </row>
    <row r="193" spans="1:18" x14ac:dyDescent="0.25">
      <c r="A193" t="s">
        <v>221</v>
      </c>
      <c r="B193" t="s">
        <v>648</v>
      </c>
      <c r="C193" t="s">
        <v>1075</v>
      </c>
      <c r="D193" t="s">
        <v>1300</v>
      </c>
      <c r="E193">
        <v>16</v>
      </c>
      <c r="F193">
        <v>6750</v>
      </c>
      <c r="G193">
        <v>9750</v>
      </c>
      <c r="H193" s="1">
        <v>46175</v>
      </c>
      <c r="I193" s="1">
        <v>46168</v>
      </c>
      <c r="J193">
        <v>10000</v>
      </c>
      <c r="K193">
        <v>2000</v>
      </c>
      <c r="L193">
        <v>12000</v>
      </c>
      <c r="M193">
        <v>8250</v>
      </c>
      <c r="N193">
        <v>1500</v>
      </c>
      <c r="O193">
        <v>3000</v>
      </c>
      <c r="P193">
        <v>6750</v>
      </c>
      <c r="Q193" s="10">
        <f t="shared" si="2"/>
        <v>6750</v>
      </c>
      <c r="R193" t="s">
        <v>1324</v>
      </c>
    </row>
    <row r="194" spans="1:18" x14ac:dyDescent="0.25">
      <c r="A194" t="s">
        <v>222</v>
      </c>
      <c r="B194" t="s">
        <v>649</v>
      </c>
      <c r="C194" t="s">
        <v>1076</v>
      </c>
      <c r="D194" t="s">
        <v>1299</v>
      </c>
      <c r="E194">
        <v>2</v>
      </c>
      <c r="F194">
        <v>1500</v>
      </c>
      <c r="G194">
        <v>14500</v>
      </c>
      <c r="H194" s="1">
        <v>46189</v>
      </c>
      <c r="I194" s="1">
        <v>46175</v>
      </c>
      <c r="J194">
        <v>15000</v>
      </c>
      <c r="K194">
        <v>4500</v>
      </c>
      <c r="L194">
        <v>19500</v>
      </c>
      <c r="M194">
        <v>11500</v>
      </c>
      <c r="N194">
        <v>3000</v>
      </c>
      <c r="O194">
        <v>3250</v>
      </c>
      <c r="P194">
        <v>1500</v>
      </c>
      <c r="Q194" s="10">
        <f t="shared" si="2"/>
        <v>1500</v>
      </c>
      <c r="R194" t="s">
        <v>1324</v>
      </c>
    </row>
    <row r="195" spans="1:18" x14ac:dyDescent="0.25">
      <c r="A195" t="s">
        <v>223</v>
      </c>
      <c r="B195" t="s">
        <v>650</v>
      </c>
      <c r="C195" t="s">
        <v>1077</v>
      </c>
      <c r="D195" t="s">
        <v>1299</v>
      </c>
      <c r="E195">
        <v>1</v>
      </c>
      <c r="F195">
        <v>2450</v>
      </c>
      <c r="G195">
        <v>4900</v>
      </c>
      <c r="H195" s="1">
        <v>46190</v>
      </c>
      <c r="I195" s="1">
        <v>46141</v>
      </c>
      <c r="J195">
        <v>14000</v>
      </c>
      <c r="K195">
        <v>5600</v>
      </c>
      <c r="L195">
        <v>19600</v>
      </c>
      <c r="M195">
        <v>3500</v>
      </c>
      <c r="N195">
        <v>1400</v>
      </c>
      <c r="O195">
        <v>2450</v>
      </c>
      <c r="P195">
        <v>2450</v>
      </c>
      <c r="Q195" s="10">
        <f t="shared" ref="Q195:Q258" si="3">P195</f>
        <v>2450</v>
      </c>
      <c r="R195" t="s">
        <v>1324</v>
      </c>
    </row>
    <row r="196" spans="1:18" x14ac:dyDescent="0.25">
      <c r="A196" t="s">
        <v>224</v>
      </c>
      <c r="B196" t="s">
        <v>651</v>
      </c>
      <c r="C196" t="s">
        <v>1078</v>
      </c>
      <c r="D196" t="s">
        <v>1300</v>
      </c>
      <c r="E196">
        <v>1</v>
      </c>
      <c r="F196">
        <v>960</v>
      </c>
      <c r="G196">
        <v>960</v>
      </c>
      <c r="H196" s="1">
        <v>46190</v>
      </c>
      <c r="I196" s="1">
        <v>46148</v>
      </c>
      <c r="J196">
        <v>7000</v>
      </c>
      <c r="K196">
        <v>3010</v>
      </c>
      <c r="L196">
        <v>10010</v>
      </c>
      <c r="M196">
        <v>960</v>
      </c>
      <c r="N196">
        <v>0</v>
      </c>
      <c r="O196">
        <v>1669</v>
      </c>
      <c r="P196">
        <v>960</v>
      </c>
      <c r="Q196" s="10">
        <f t="shared" si="3"/>
        <v>960</v>
      </c>
      <c r="R196" t="s">
        <v>1324</v>
      </c>
    </row>
    <row r="197" spans="1:18" x14ac:dyDescent="0.25">
      <c r="A197" t="s">
        <v>225</v>
      </c>
      <c r="B197" t="s">
        <v>652</v>
      </c>
      <c r="C197" t="s">
        <v>1079</v>
      </c>
      <c r="D197" t="s">
        <v>1300</v>
      </c>
      <c r="E197">
        <v>2</v>
      </c>
      <c r="F197">
        <v>535</v>
      </c>
      <c r="G197">
        <v>2700</v>
      </c>
      <c r="H197" s="1">
        <v>46189</v>
      </c>
      <c r="I197" s="1">
        <v>46154</v>
      </c>
      <c r="J197">
        <v>10000</v>
      </c>
      <c r="K197">
        <v>3000</v>
      </c>
      <c r="L197">
        <v>13000</v>
      </c>
      <c r="M197">
        <v>2200</v>
      </c>
      <c r="N197">
        <v>500</v>
      </c>
      <c r="O197">
        <v>2167</v>
      </c>
      <c r="P197">
        <v>535</v>
      </c>
      <c r="Q197" s="10">
        <f t="shared" si="3"/>
        <v>535</v>
      </c>
      <c r="R197" t="s">
        <v>1324</v>
      </c>
    </row>
    <row r="198" spans="1:18" x14ac:dyDescent="0.25">
      <c r="A198" t="s">
        <v>226</v>
      </c>
      <c r="B198" t="s">
        <v>653</v>
      </c>
      <c r="C198" t="s">
        <v>1080</v>
      </c>
      <c r="D198" t="s">
        <v>1300</v>
      </c>
      <c r="E198">
        <v>8</v>
      </c>
      <c r="F198">
        <v>4295</v>
      </c>
      <c r="G198">
        <v>6460</v>
      </c>
      <c r="H198" s="1">
        <v>46183</v>
      </c>
      <c r="I198" s="1">
        <v>46155</v>
      </c>
      <c r="J198">
        <v>10000</v>
      </c>
      <c r="K198">
        <v>3000</v>
      </c>
      <c r="L198">
        <v>13000</v>
      </c>
      <c r="M198">
        <v>4999</v>
      </c>
      <c r="N198">
        <v>1461</v>
      </c>
      <c r="O198">
        <v>2167</v>
      </c>
      <c r="P198">
        <v>4295</v>
      </c>
      <c r="Q198" s="10">
        <f t="shared" si="3"/>
        <v>4295</v>
      </c>
      <c r="R198" t="s">
        <v>1324</v>
      </c>
    </row>
    <row r="199" spans="1:18" x14ac:dyDescent="0.25">
      <c r="A199" t="s">
        <v>227</v>
      </c>
      <c r="B199" t="s">
        <v>654</v>
      </c>
      <c r="C199" t="s">
        <v>1081</v>
      </c>
      <c r="D199" t="s">
        <v>1300</v>
      </c>
      <c r="E199">
        <v>1</v>
      </c>
      <c r="F199">
        <v>2158</v>
      </c>
      <c r="G199">
        <v>6490</v>
      </c>
      <c r="H199" s="1">
        <v>46190</v>
      </c>
      <c r="I199" s="1">
        <v>46162</v>
      </c>
      <c r="J199">
        <v>10000</v>
      </c>
      <c r="K199">
        <v>3000</v>
      </c>
      <c r="L199">
        <v>13000</v>
      </c>
      <c r="M199">
        <v>4999</v>
      </c>
      <c r="N199">
        <v>1491</v>
      </c>
      <c r="O199">
        <v>2167</v>
      </c>
      <c r="P199">
        <v>2158</v>
      </c>
      <c r="Q199" s="10">
        <f t="shared" si="3"/>
        <v>2158</v>
      </c>
      <c r="R199" t="s">
        <v>1324</v>
      </c>
    </row>
    <row r="200" spans="1:18" x14ac:dyDescent="0.25">
      <c r="A200" t="s">
        <v>228</v>
      </c>
      <c r="B200" t="s">
        <v>655</v>
      </c>
      <c r="C200" t="s">
        <v>1082</v>
      </c>
      <c r="D200" t="s">
        <v>1299</v>
      </c>
      <c r="E200">
        <v>2</v>
      </c>
      <c r="F200">
        <v>3250</v>
      </c>
      <c r="G200">
        <v>13000</v>
      </c>
      <c r="H200" s="1">
        <v>46189</v>
      </c>
      <c r="I200" s="1">
        <v>46168</v>
      </c>
      <c r="J200">
        <v>15000</v>
      </c>
      <c r="K200">
        <v>4500</v>
      </c>
      <c r="L200">
        <v>19500</v>
      </c>
      <c r="M200">
        <v>10000</v>
      </c>
      <c r="N200">
        <v>3000</v>
      </c>
      <c r="O200">
        <v>3250</v>
      </c>
      <c r="P200">
        <v>3250</v>
      </c>
      <c r="Q200" s="10">
        <f t="shared" si="3"/>
        <v>3250</v>
      </c>
      <c r="R200" t="s">
        <v>1324</v>
      </c>
    </row>
    <row r="201" spans="1:18" x14ac:dyDescent="0.25">
      <c r="A201" t="s">
        <v>229</v>
      </c>
      <c r="B201" t="s">
        <v>656</v>
      </c>
      <c r="C201" t="s">
        <v>1083</v>
      </c>
      <c r="D201" t="s">
        <v>1300</v>
      </c>
      <c r="E201">
        <v>1</v>
      </c>
      <c r="F201">
        <v>2164</v>
      </c>
      <c r="G201">
        <v>10830</v>
      </c>
      <c r="H201" s="1">
        <v>46190</v>
      </c>
      <c r="I201" s="1">
        <v>46176</v>
      </c>
      <c r="J201">
        <v>10000</v>
      </c>
      <c r="K201">
        <v>3000</v>
      </c>
      <c r="L201">
        <v>13000</v>
      </c>
      <c r="M201">
        <v>8333</v>
      </c>
      <c r="N201">
        <v>2497</v>
      </c>
      <c r="O201">
        <v>2167</v>
      </c>
      <c r="P201">
        <v>2164</v>
      </c>
      <c r="Q201" s="10">
        <f t="shared" si="3"/>
        <v>2164</v>
      </c>
      <c r="R201" t="s">
        <v>1324</v>
      </c>
    </row>
    <row r="202" spans="1:18" x14ac:dyDescent="0.25">
      <c r="A202" t="s">
        <v>230</v>
      </c>
      <c r="B202" t="s">
        <v>657</v>
      </c>
      <c r="C202" t="s">
        <v>1084</v>
      </c>
      <c r="D202" t="s">
        <v>1301</v>
      </c>
      <c r="E202">
        <v>10</v>
      </c>
      <c r="F202">
        <v>540</v>
      </c>
      <c r="G202">
        <v>540</v>
      </c>
      <c r="H202" s="1">
        <v>46181</v>
      </c>
      <c r="I202" s="1">
        <v>46153</v>
      </c>
      <c r="J202">
        <v>5000</v>
      </c>
      <c r="K202">
        <v>1000</v>
      </c>
      <c r="L202">
        <v>6000</v>
      </c>
      <c r="M202">
        <v>540</v>
      </c>
      <c r="N202">
        <v>0</v>
      </c>
      <c r="O202">
        <v>1500</v>
      </c>
      <c r="P202">
        <v>540</v>
      </c>
      <c r="Q202" s="10">
        <f t="shared" si="3"/>
        <v>540</v>
      </c>
      <c r="R202" t="s">
        <v>1324</v>
      </c>
    </row>
    <row r="203" spans="1:18" x14ac:dyDescent="0.25">
      <c r="A203" t="s">
        <v>231</v>
      </c>
      <c r="B203" t="s">
        <v>658</v>
      </c>
      <c r="C203" t="s">
        <v>1085</v>
      </c>
      <c r="D203" t="s">
        <v>1300</v>
      </c>
      <c r="E203">
        <v>7</v>
      </c>
      <c r="F203">
        <v>4325</v>
      </c>
      <c r="G203">
        <v>6490</v>
      </c>
      <c r="H203" s="1">
        <v>46184</v>
      </c>
      <c r="I203" s="1">
        <v>46156</v>
      </c>
      <c r="J203">
        <v>10000</v>
      </c>
      <c r="K203">
        <v>3000</v>
      </c>
      <c r="L203">
        <v>13000</v>
      </c>
      <c r="M203">
        <v>4999</v>
      </c>
      <c r="N203">
        <v>1491</v>
      </c>
      <c r="O203">
        <v>2167</v>
      </c>
      <c r="P203">
        <v>4325</v>
      </c>
      <c r="Q203" s="10">
        <f t="shared" si="3"/>
        <v>4325</v>
      </c>
      <c r="R203" t="s">
        <v>1324</v>
      </c>
    </row>
    <row r="204" spans="1:18" x14ac:dyDescent="0.25">
      <c r="A204" t="s">
        <v>232</v>
      </c>
      <c r="B204" t="s">
        <v>659</v>
      </c>
      <c r="C204" t="s">
        <v>1086</v>
      </c>
      <c r="D204" t="s">
        <v>1300</v>
      </c>
      <c r="E204">
        <v>2</v>
      </c>
      <c r="F204">
        <v>2164</v>
      </c>
      <c r="G204">
        <v>10830</v>
      </c>
      <c r="H204" s="1">
        <v>46189</v>
      </c>
      <c r="I204" s="1">
        <v>46175</v>
      </c>
      <c r="J204">
        <v>10000</v>
      </c>
      <c r="K204">
        <v>3000</v>
      </c>
      <c r="L204">
        <v>13000</v>
      </c>
      <c r="M204">
        <v>8333</v>
      </c>
      <c r="N204">
        <v>2497</v>
      </c>
      <c r="O204">
        <v>2167</v>
      </c>
      <c r="P204">
        <v>2164</v>
      </c>
      <c r="Q204" s="10">
        <f t="shared" si="3"/>
        <v>2164</v>
      </c>
      <c r="R204" t="s">
        <v>1324</v>
      </c>
    </row>
    <row r="205" spans="1:18" x14ac:dyDescent="0.25">
      <c r="A205" t="s">
        <v>233</v>
      </c>
      <c r="B205" t="s">
        <v>660</v>
      </c>
      <c r="C205" t="s">
        <v>1087</v>
      </c>
      <c r="D205" t="s">
        <v>1299</v>
      </c>
      <c r="E205">
        <v>1</v>
      </c>
      <c r="F205">
        <v>1450</v>
      </c>
      <c r="G205">
        <v>11850</v>
      </c>
      <c r="H205" s="1">
        <v>46190</v>
      </c>
      <c r="I205" s="1">
        <v>46176</v>
      </c>
      <c r="J205">
        <v>12000</v>
      </c>
      <c r="K205">
        <v>3600</v>
      </c>
      <c r="L205">
        <v>15600</v>
      </c>
      <c r="M205">
        <v>9450</v>
      </c>
      <c r="N205">
        <v>2400</v>
      </c>
      <c r="O205">
        <v>2600</v>
      </c>
      <c r="P205">
        <v>1450</v>
      </c>
      <c r="Q205" s="10">
        <f t="shared" si="3"/>
        <v>1450</v>
      </c>
      <c r="R205" t="s">
        <v>1324</v>
      </c>
    </row>
    <row r="206" spans="1:18" x14ac:dyDescent="0.25">
      <c r="A206" t="s">
        <v>234</v>
      </c>
      <c r="B206" t="s">
        <v>661</v>
      </c>
      <c r="C206" t="s">
        <v>1088</v>
      </c>
      <c r="D206" t="s">
        <v>1300</v>
      </c>
      <c r="E206">
        <v>1</v>
      </c>
      <c r="F206">
        <v>2500</v>
      </c>
      <c r="G206">
        <v>7500</v>
      </c>
      <c r="H206" s="1">
        <v>46190</v>
      </c>
      <c r="I206" s="1">
        <v>46176</v>
      </c>
      <c r="J206">
        <v>8000</v>
      </c>
      <c r="K206">
        <v>2000</v>
      </c>
      <c r="L206">
        <v>10000</v>
      </c>
      <c r="M206">
        <v>6000</v>
      </c>
      <c r="N206">
        <v>1500</v>
      </c>
      <c r="O206">
        <v>2500</v>
      </c>
      <c r="P206">
        <v>2500</v>
      </c>
      <c r="Q206" s="10">
        <f t="shared" si="3"/>
        <v>2500</v>
      </c>
      <c r="R206" t="s">
        <v>1324</v>
      </c>
    </row>
    <row r="207" spans="1:18" x14ac:dyDescent="0.25">
      <c r="A207" t="s">
        <v>235</v>
      </c>
      <c r="B207" t="s">
        <v>662</v>
      </c>
      <c r="C207" t="s">
        <v>1089</v>
      </c>
      <c r="D207" t="s">
        <v>1300</v>
      </c>
      <c r="E207">
        <v>8</v>
      </c>
      <c r="F207">
        <v>1830</v>
      </c>
      <c r="G207">
        <v>1830</v>
      </c>
      <c r="H207" s="1">
        <v>46183</v>
      </c>
      <c r="I207" s="1">
        <v>46148</v>
      </c>
      <c r="J207">
        <v>7000</v>
      </c>
      <c r="K207">
        <v>3010</v>
      </c>
      <c r="L207">
        <v>10010</v>
      </c>
      <c r="M207">
        <v>1330</v>
      </c>
      <c r="N207">
        <v>500</v>
      </c>
      <c r="O207">
        <v>1669</v>
      </c>
      <c r="P207">
        <v>1830</v>
      </c>
      <c r="Q207" s="10">
        <f t="shared" si="3"/>
        <v>1830</v>
      </c>
      <c r="R207" t="s">
        <v>1325</v>
      </c>
    </row>
    <row r="208" spans="1:18" x14ac:dyDescent="0.25">
      <c r="A208" t="s">
        <v>236</v>
      </c>
      <c r="B208" t="s">
        <v>663</v>
      </c>
      <c r="C208" t="s">
        <v>1090</v>
      </c>
      <c r="D208" t="s">
        <v>1299</v>
      </c>
      <c r="E208">
        <v>9</v>
      </c>
      <c r="F208">
        <v>4500</v>
      </c>
      <c r="G208">
        <v>4500</v>
      </c>
      <c r="H208" s="1">
        <v>46182</v>
      </c>
      <c r="I208" s="1">
        <v>46154</v>
      </c>
      <c r="J208">
        <v>15000</v>
      </c>
      <c r="K208">
        <v>3000</v>
      </c>
      <c r="L208">
        <v>18000</v>
      </c>
      <c r="M208">
        <v>3750</v>
      </c>
      <c r="N208">
        <v>750</v>
      </c>
      <c r="O208">
        <v>4500</v>
      </c>
      <c r="P208">
        <v>4500</v>
      </c>
      <c r="Q208" s="10">
        <f t="shared" si="3"/>
        <v>4500</v>
      </c>
      <c r="R208" t="s">
        <v>1325</v>
      </c>
    </row>
    <row r="209" spans="1:18" x14ac:dyDescent="0.25">
      <c r="A209" t="s">
        <v>237</v>
      </c>
      <c r="B209" t="s">
        <v>664</v>
      </c>
      <c r="C209" t="s">
        <v>1091</v>
      </c>
      <c r="D209" t="s">
        <v>1300</v>
      </c>
      <c r="E209">
        <v>7</v>
      </c>
      <c r="F209">
        <v>2175</v>
      </c>
      <c r="G209">
        <v>4340</v>
      </c>
      <c r="H209" s="1">
        <v>46184</v>
      </c>
      <c r="I209" s="1">
        <v>46156</v>
      </c>
      <c r="J209">
        <v>10000</v>
      </c>
      <c r="K209">
        <v>3000</v>
      </c>
      <c r="L209">
        <v>13000</v>
      </c>
      <c r="M209">
        <v>3340</v>
      </c>
      <c r="N209">
        <v>1000</v>
      </c>
      <c r="O209">
        <v>2167</v>
      </c>
      <c r="P209">
        <v>2175</v>
      </c>
      <c r="Q209" s="10">
        <f t="shared" si="3"/>
        <v>2175</v>
      </c>
      <c r="R209" t="s">
        <v>1325</v>
      </c>
    </row>
    <row r="210" spans="1:18" x14ac:dyDescent="0.25">
      <c r="A210" t="s">
        <v>238</v>
      </c>
      <c r="B210" t="s">
        <v>665</v>
      </c>
      <c r="C210" t="s">
        <v>1092</v>
      </c>
      <c r="D210" t="s">
        <v>1300</v>
      </c>
      <c r="E210">
        <v>2</v>
      </c>
      <c r="F210">
        <v>1296</v>
      </c>
      <c r="G210">
        <v>8630</v>
      </c>
      <c r="H210" s="1">
        <v>46189</v>
      </c>
      <c r="I210" s="1">
        <v>46175</v>
      </c>
      <c r="J210">
        <v>8000</v>
      </c>
      <c r="K210">
        <v>3000</v>
      </c>
      <c r="L210">
        <v>11000</v>
      </c>
      <c r="M210">
        <v>6630</v>
      </c>
      <c r="N210">
        <v>2000</v>
      </c>
      <c r="O210">
        <v>1833</v>
      </c>
      <c r="P210">
        <v>1296</v>
      </c>
      <c r="Q210" s="10">
        <f t="shared" si="3"/>
        <v>1296</v>
      </c>
      <c r="R210" t="s">
        <v>1325</v>
      </c>
    </row>
    <row r="211" spans="1:18" x14ac:dyDescent="0.25">
      <c r="A211" t="s">
        <v>239</v>
      </c>
      <c r="B211" t="s">
        <v>666</v>
      </c>
      <c r="C211" t="s">
        <v>1093</v>
      </c>
      <c r="D211" t="s">
        <v>1300</v>
      </c>
      <c r="E211">
        <v>29</v>
      </c>
      <c r="F211">
        <v>1010</v>
      </c>
      <c r="G211">
        <v>1010</v>
      </c>
      <c r="H211" s="1">
        <v>46162</v>
      </c>
      <c r="I211" s="1">
        <v>46120</v>
      </c>
      <c r="J211">
        <v>10000</v>
      </c>
      <c r="K211">
        <v>3000</v>
      </c>
      <c r="L211">
        <v>13000</v>
      </c>
      <c r="M211">
        <v>1010</v>
      </c>
      <c r="N211">
        <v>0</v>
      </c>
      <c r="O211">
        <v>2167</v>
      </c>
      <c r="P211">
        <v>1010</v>
      </c>
      <c r="Q211" s="10">
        <f t="shared" si="3"/>
        <v>1010</v>
      </c>
      <c r="R211" t="s">
        <v>1325</v>
      </c>
    </row>
    <row r="212" spans="1:18" x14ac:dyDescent="0.25">
      <c r="A212" t="s">
        <v>240</v>
      </c>
      <c r="B212" t="s">
        <v>667</v>
      </c>
      <c r="C212" t="s">
        <v>1094</v>
      </c>
      <c r="D212" t="s">
        <v>1300</v>
      </c>
      <c r="E212">
        <v>15</v>
      </c>
      <c r="F212">
        <v>5250</v>
      </c>
      <c r="G212">
        <v>5250</v>
      </c>
      <c r="H212" s="1">
        <v>46176</v>
      </c>
      <c r="I212" s="1">
        <v>46134</v>
      </c>
      <c r="J212">
        <v>10000</v>
      </c>
      <c r="K212">
        <v>4000</v>
      </c>
      <c r="L212">
        <v>14000</v>
      </c>
      <c r="M212">
        <v>3750</v>
      </c>
      <c r="N212">
        <v>1500</v>
      </c>
      <c r="O212">
        <v>1750</v>
      </c>
      <c r="P212">
        <v>5250</v>
      </c>
      <c r="Q212" s="10">
        <f t="shared" si="3"/>
        <v>5250</v>
      </c>
      <c r="R212" t="s">
        <v>1325</v>
      </c>
    </row>
    <row r="213" spans="1:18" x14ac:dyDescent="0.25">
      <c r="A213" t="s">
        <v>241</v>
      </c>
      <c r="B213" t="s">
        <v>668</v>
      </c>
      <c r="C213" t="s">
        <v>1095</v>
      </c>
      <c r="D213" t="s">
        <v>1313</v>
      </c>
      <c r="E213">
        <v>1</v>
      </c>
      <c r="F213">
        <v>6655</v>
      </c>
      <c r="G213">
        <v>46653</v>
      </c>
      <c r="H213" s="1">
        <v>46190</v>
      </c>
      <c r="I213" s="1">
        <v>46148</v>
      </c>
      <c r="J213">
        <v>50000</v>
      </c>
      <c r="K213">
        <v>30000</v>
      </c>
      <c r="L213">
        <v>80000</v>
      </c>
      <c r="M213">
        <v>29165</v>
      </c>
      <c r="N213">
        <v>17488</v>
      </c>
      <c r="O213">
        <v>6667</v>
      </c>
      <c r="P213">
        <v>6655</v>
      </c>
      <c r="Q213" s="10">
        <f t="shared" si="3"/>
        <v>6655</v>
      </c>
      <c r="R213" t="s">
        <v>1325</v>
      </c>
    </row>
    <row r="214" spans="1:18" x14ac:dyDescent="0.25">
      <c r="A214" t="s">
        <v>242</v>
      </c>
      <c r="B214" t="s">
        <v>669</v>
      </c>
      <c r="C214" t="s">
        <v>1096</v>
      </c>
      <c r="D214" t="s">
        <v>1300</v>
      </c>
      <c r="E214">
        <v>3</v>
      </c>
      <c r="F214">
        <v>165</v>
      </c>
      <c r="G214">
        <v>2330</v>
      </c>
      <c r="H214" s="1">
        <v>46188</v>
      </c>
      <c r="I214" s="1">
        <v>46153</v>
      </c>
      <c r="J214">
        <v>10000</v>
      </c>
      <c r="K214">
        <v>3000</v>
      </c>
      <c r="L214">
        <v>13000</v>
      </c>
      <c r="M214">
        <v>1830</v>
      </c>
      <c r="N214">
        <v>500</v>
      </c>
      <c r="O214">
        <v>2167</v>
      </c>
      <c r="P214">
        <v>165</v>
      </c>
      <c r="Q214" s="10">
        <f t="shared" si="3"/>
        <v>165</v>
      </c>
      <c r="R214" t="s">
        <v>1325</v>
      </c>
    </row>
    <row r="215" spans="1:18" x14ac:dyDescent="0.25">
      <c r="A215" t="s">
        <v>243</v>
      </c>
      <c r="B215" t="s">
        <v>670</v>
      </c>
      <c r="C215" t="s">
        <v>1097</v>
      </c>
      <c r="D215" t="s">
        <v>1300</v>
      </c>
      <c r="E215">
        <v>1</v>
      </c>
      <c r="F215">
        <v>5</v>
      </c>
      <c r="G215">
        <v>2170</v>
      </c>
      <c r="H215" s="1">
        <v>46190</v>
      </c>
      <c r="I215" s="1">
        <v>46155</v>
      </c>
      <c r="J215">
        <v>10000</v>
      </c>
      <c r="K215">
        <v>3000</v>
      </c>
      <c r="L215">
        <v>13000</v>
      </c>
      <c r="M215">
        <v>1670</v>
      </c>
      <c r="N215">
        <v>500</v>
      </c>
      <c r="O215">
        <v>2167</v>
      </c>
      <c r="P215">
        <v>5</v>
      </c>
      <c r="Q215" s="10">
        <f t="shared" si="3"/>
        <v>5</v>
      </c>
      <c r="R215" t="s">
        <v>1325</v>
      </c>
    </row>
    <row r="216" spans="1:18" x14ac:dyDescent="0.25">
      <c r="A216" t="s">
        <v>244</v>
      </c>
      <c r="B216" t="s">
        <v>671</v>
      </c>
      <c r="C216" t="s">
        <v>1098</v>
      </c>
      <c r="D216" t="s">
        <v>1300</v>
      </c>
      <c r="E216">
        <v>1</v>
      </c>
      <c r="F216">
        <v>2128</v>
      </c>
      <c r="G216">
        <v>6460</v>
      </c>
      <c r="H216" s="1">
        <v>46190</v>
      </c>
      <c r="I216" s="1">
        <v>46162</v>
      </c>
      <c r="J216">
        <v>10000</v>
      </c>
      <c r="K216">
        <v>3000</v>
      </c>
      <c r="L216">
        <v>13000</v>
      </c>
      <c r="M216">
        <v>4999</v>
      </c>
      <c r="N216">
        <v>1461</v>
      </c>
      <c r="O216">
        <v>2167</v>
      </c>
      <c r="P216">
        <v>2128</v>
      </c>
      <c r="Q216" s="10">
        <f t="shared" si="3"/>
        <v>2128</v>
      </c>
      <c r="R216" t="s">
        <v>1325</v>
      </c>
    </row>
    <row r="217" spans="1:18" x14ac:dyDescent="0.25">
      <c r="A217" t="s">
        <v>245</v>
      </c>
      <c r="B217" t="s">
        <v>672</v>
      </c>
      <c r="C217" t="s">
        <v>1099</v>
      </c>
      <c r="D217" t="s">
        <v>1300</v>
      </c>
      <c r="E217">
        <v>13</v>
      </c>
      <c r="F217">
        <v>6000</v>
      </c>
      <c r="G217">
        <v>9000</v>
      </c>
      <c r="H217" s="1">
        <v>46178</v>
      </c>
      <c r="I217" s="1">
        <v>46164</v>
      </c>
      <c r="J217">
        <v>10000</v>
      </c>
      <c r="K217">
        <v>2000</v>
      </c>
      <c r="L217">
        <v>12000</v>
      </c>
      <c r="M217">
        <v>7500</v>
      </c>
      <c r="N217">
        <v>1500</v>
      </c>
      <c r="O217">
        <v>3000</v>
      </c>
      <c r="P217">
        <v>6000</v>
      </c>
      <c r="Q217" s="10">
        <f t="shared" si="3"/>
        <v>6000</v>
      </c>
      <c r="R217" t="s">
        <v>1325</v>
      </c>
    </row>
    <row r="218" spans="1:18" x14ac:dyDescent="0.25">
      <c r="A218" t="s">
        <v>246</v>
      </c>
      <c r="B218" t="s">
        <v>673</v>
      </c>
      <c r="C218" t="s">
        <v>1100</v>
      </c>
      <c r="D218" t="s">
        <v>1299</v>
      </c>
      <c r="E218">
        <v>1</v>
      </c>
      <c r="F218">
        <v>3033</v>
      </c>
      <c r="G218">
        <v>18200</v>
      </c>
      <c r="H218" s="1">
        <v>46190</v>
      </c>
      <c r="I218" s="1">
        <v>46183</v>
      </c>
      <c r="J218">
        <v>14000</v>
      </c>
      <c r="K218">
        <v>4200</v>
      </c>
      <c r="L218">
        <v>18200</v>
      </c>
      <c r="M218">
        <v>14000</v>
      </c>
      <c r="N218">
        <v>4200</v>
      </c>
      <c r="O218">
        <v>3033</v>
      </c>
      <c r="P218">
        <v>3033</v>
      </c>
      <c r="Q218" s="10">
        <f t="shared" si="3"/>
        <v>3033</v>
      </c>
      <c r="R218" t="s">
        <v>1325</v>
      </c>
    </row>
    <row r="219" spans="1:18" x14ac:dyDescent="0.25">
      <c r="A219" t="s">
        <v>247</v>
      </c>
      <c r="B219" t="s">
        <v>674</v>
      </c>
      <c r="C219" t="s">
        <v>1101</v>
      </c>
      <c r="D219" t="s">
        <v>1300</v>
      </c>
      <c r="E219">
        <v>8</v>
      </c>
      <c r="F219">
        <v>480</v>
      </c>
      <c r="G219">
        <v>480</v>
      </c>
      <c r="H219" s="1">
        <v>46183</v>
      </c>
      <c r="I219" s="1">
        <v>46141</v>
      </c>
      <c r="J219">
        <v>10000</v>
      </c>
      <c r="K219">
        <v>3000</v>
      </c>
      <c r="L219">
        <v>13000</v>
      </c>
      <c r="M219">
        <v>480</v>
      </c>
      <c r="N219">
        <v>0</v>
      </c>
      <c r="O219">
        <v>2167</v>
      </c>
      <c r="P219">
        <v>480</v>
      </c>
      <c r="Q219" s="10">
        <f t="shared" si="3"/>
        <v>480</v>
      </c>
      <c r="R219" t="s">
        <v>1325</v>
      </c>
    </row>
    <row r="220" spans="1:18" x14ac:dyDescent="0.25">
      <c r="A220" t="s">
        <v>248</v>
      </c>
      <c r="B220" t="s">
        <v>675</v>
      </c>
      <c r="C220" t="s">
        <v>1102</v>
      </c>
      <c r="D220" t="s">
        <v>1300</v>
      </c>
      <c r="E220">
        <v>2</v>
      </c>
      <c r="F220">
        <v>160</v>
      </c>
      <c r="G220">
        <v>1995</v>
      </c>
      <c r="H220" s="1">
        <v>46189</v>
      </c>
      <c r="I220" s="1">
        <v>46154</v>
      </c>
      <c r="J220">
        <v>8000</v>
      </c>
      <c r="K220">
        <v>3000</v>
      </c>
      <c r="L220">
        <v>11000</v>
      </c>
      <c r="M220">
        <v>1495</v>
      </c>
      <c r="N220">
        <v>500</v>
      </c>
      <c r="O220">
        <v>1833</v>
      </c>
      <c r="P220">
        <v>160</v>
      </c>
      <c r="Q220" s="10">
        <f t="shared" si="3"/>
        <v>160</v>
      </c>
      <c r="R220" t="s">
        <v>1325</v>
      </c>
    </row>
    <row r="221" spans="1:18" x14ac:dyDescent="0.25">
      <c r="A221" t="s">
        <v>249</v>
      </c>
      <c r="B221" t="s">
        <v>676</v>
      </c>
      <c r="C221" t="s">
        <v>1103</v>
      </c>
      <c r="D221" t="s">
        <v>1300</v>
      </c>
      <c r="E221">
        <v>2</v>
      </c>
      <c r="F221">
        <v>988</v>
      </c>
      <c r="G221">
        <v>5320</v>
      </c>
      <c r="H221" s="1">
        <v>46189</v>
      </c>
      <c r="I221" s="1">
        <v>46161</v>
      </c>
      <c r="J221">
        <v>10000</v>
      </c>
      <c r="K221">
        <v>3000</v>
      </c>
      <c r="L221">
        <v>13000</v>
      </c>
      <c r="M221">
        <v>4320</v>
      </c>
      <c r="N221">
        <v>1000</v>
      </c>
      <c r="O221">
        <v>2167</v>
      </c>
      <c r="P221">
        <v>988</v>
      </c>
      <c r="Q221" s="10">
        <f t="shared" si="3"/>
        <v>988</v>
      </c>
      <c r="R221" t="s">
        <v>1325</v>
      </c>
    </row>
    <row r="222" spans="1:18" x14ac:dyDescent="0.25">
      <c r="A222" t="s">
        <v>250</v>
      </c>
      <c r="B222" t="s">
        <v>677</v>
      </c>
      <c r="C222" t="s">
        <v>1104</v>
      </c>
      <c r="D222" t="s">
        <v>1300</v>
      </c>
      <c r="E222">
        <v>1</v>
      </c>
      <c r="F222">
        <v>227</v>
      </c>
      <c r="G222">
        <v>3895</v>
      </c>
      <c r="H222" s="1">
        <v>46190</v>
      </c>
      <c r="I222" s="1">
        <v>46162</v>
      </c>
      <c r="J222">
        <v>8000</v>
      </c>
      <c r="K222">
        <v>3000</v>
      </c>
      <c r="L222">
        <v>11000</v>
      </c>
      <c r="M222">
        <v>2895</v>
      </c>
      <c r="N222">
        <v>1000</v>
      </c>
      <c r="O222">
        <v>1833</v>
      </c>
      <c r="P222">
        <v>227</v>
      </c>
      <c r="Q222" s="10">
        <f t="shared" si="3"/>
        <v>227</v>
      </c>
      <c r="R222" t="s">
        <v>1325</v>
      </c>
    </row>
    <row r="223" spans="1:18" x14ac:dyDescent="0.25">
      <c r="A223" t="s">
        <v>251</v>
      </c>
      <c r="B223" t="s">
        <v>678</v>
      </c>
      <c r="C223" t="s">
        <v>1105</v>
      </c>
      <c r="D223" t="s">
        <v>1300</v>
      </c>
      <c r="E223">
        <v>6</v>
      </c>
      <c r="F223">
        <v>64</v>
      </c>
      <c r="G223">
        <v>8730</v>
      </c>
      <c r="H223" s="1">
        <v>46185</v>
      </c>
      <c r="I223" s="1">
        <v>46171</v>
      </c>
      <c r="J223">
        <v>10000</v>
      </c>
      <c r="K223">
        <v>3000</v>
      </c>
      <c r="L223">
        <v>13000</v>
      </c>
      <c r="M223">
        <v>6730</v>
      </c>
      <c r="N223">
        <v>2000</v>
      </c>
      <c r="O223">
        <v>2167</v>
      </c>
      <c r="P223">
        <v>64</v>
      </c>
      <c r="Q223" s="10">
        <f t="shared" si="3"/>
        <v>64</v>
      </c>
      <c r="R223" t="s">
        <v>1325</v>
      </c>
    </row>
    <row r="224" spans="1:18" x14ac:dyDescent="0.25">
      <c r="A224" t="s">
        <v>252</v>
      </c>
      <c r="B224" t="s">
        <v>679</v>
      </c>
      <c r="C224" t="s">
        <v>1106</v>
      </c>
      <c r="D224" t="s">
        <v>1300</v>
      </c>
      <c r="E224">
        <v>7</v>
      </c>
      <c r="F224">
        <v>4150</v>
      </c>
      <c r="G224">
        <v>6315</v>
      </c>
      <c r="H224" s="1">
        <v>46184</v>
      </c>
      <c r="I224" s="1">
        <v>46156</v>
      </c>
      <c r="J224">
        <v>10000</v>
      </c>
      <c r="K224">
        <v>3000</v>
      </c>
      <c r="L224">
        <v>13000</v>
      </c>
      <c r="M224">
        <v>4999</v>
      </c>
      <c r="N224">
        <v>1316</v>
      </c>
      <c r="O224">
        <v>2167</v>
      </c>
      <c r="P224">
        <v>4150</v>
      </c>
      <c r="Q224" s="10">
        <f t="shared" si="3"/>
        <v>4150</v>
      </c>
      <c r="R224" t="s">
        <v>1325</v>
      </c>
    </row>
    <row r="225" spans="1:18" x14ac:dyDescent="0.25">
      <c r="A225" t="s">
        <v>253</v>
      </c>
      <c r="B225" t="s">
        <v>680</v>
      </c>
      <c r="C225" t="s">
        <v>1107</v>
      </c>
      <c r="D225" t="s">
        <v>1300</v>
      </c>
      <c r="E225">
        <v>9</v>
      </c>
      <c r="F225">
        <v>4331</v>
      </c>
      <c r="G225">
        <v>10830</v>
      </c>
      <c r="H225" s="1">
        <v>46182</v>
      </c>
      <c r="I225" s="1">
        <v>46168</v>
      </c>
      <c r="J225">
        <v>10000</v>
      </c>
      <c r="K225">
        <v>3000</v>
      </c>
      <c r="L225">
        <v>13000</v>
      </c>
      <c r="M225">
        <v>8333</v>
      </c>
      <c r="N225">
        <v>2497</v>
      </c>
      <c r="O225">
        <v>2167</v>
      </c>
      <c r="P225">
        <v>4331</v>
      </c>
      <c r="Q225" s="10">
        <f t="shared" si="3"/>
        <v>4331</v>
      </c>
      <c r="R225" t="s">
        <v>1325</v>
      </c>
    </row>
    <row r="226" spans="1:18" x14ac:dyDescent="0.25">
      <c r="A226" t="s">
        <v>254</v>
      </c>
      <c r="B226" t="s">
        <v>681</v>
      </c>
      <c r="C226" t="s">
        <v>1108</v>
      </c>
      <c r="D226" t="s">
        <v>1300</v>
      </c>
      <c r="E226">
        <v>29</v>
      </c>
      <c r="F226">
        <v>590</v>
      </c>
      <c r="G226">
        <v>590</v>
      </c>
      <c r="H226" s="1">
        <v>46162</v>
      </c>
      <c r="I226" s="1">
        <v>46120</v>
      </c>
      <c r="J226">
        <v>8000</v>
      </c>
      <c r="K226">
        <v>3000</v>
      </c>
      <c r="L226">
        <v>11000</v>
      </c>
      <c r="M226">
        <v>590</v>
      </c>
      <c r="N226">
        <v>0</v>
      </c>
      <c r="O226">
        <v>1833</v>
      </c>
      <c r="P226">
        <v>590</v>
      </c>
      <c r="Q226" s="10">
        <f t="shared" si="3"/>
        <v>590</v>
      </c>
      <c r="R226" t="s">
        <v>1325</v>
      </c>
    </row>
    <row r="227" spans="1:18" x14ac:dyDescent="0.25">
      <c r="A227" t="s">
        <v>255</v>
      </c>
      <c r="B227" t="s">
        <v>682</v>
      </c>
      <c r="C227" t="s">
        <v>1109</v>
      </c>
      <c r="D227" t="s">
        <v>1300</v>
      </c>
      <c r="E227">
        <v>1</v>
      </c>
      <c r="F227">
        <v>477</v>
      </c>
      <c r="G227">
        <v>4145</v>
      </c>
      <c r="H227" s="1">
        <v>46190</v>
      </c>
      <c r="I227" s="1">
        <v>46162</v>
      </c>
      <c r="J227">
        <v>8000</v>
      </c>
      <c r="K227">
        <v>3000</v>
      </c>
      <c r="L227">
        <v>11000</v>
      </c>
      <c r="M227">
        <v>3145</v>
      </c>
      <c r="N227">
        <v>1000</v>
      </c>
      <c r="O227">
        <v>1833</v>
      </c>
      <c r="P227">
        <v>477</v>
      </c>
      <c r="Q227" s="10">
        <f t="shared" si="3"/>
        <v>477</v>
      </c>
      <c r="R227" t="s">
        <v>1325</v>
      </c>
    </row>
    <row r="228" spans="1:18" x14ac:dyDescent="0.25">
      <c r="A228" t="s">
        <v>256</v>
      </c>
      <c r="B228" t="s">
        <v>683</v>
      </c>
      <c r="C228" t="s">
        <v>1110</v>
      </c>
      <c r="D228" t="s">
        <v>1300</v>
      </c>
      <c r="E228">
        <v>1</v>
      </c>
      <c r="F228">
        <v>2164</v>
      </c>
      <c r="G228">
        <v>10830</v>
      </c>
      <c r="H228" s="1">
        <v>46190</v>
      </c>
      <c r="I228" s="1">
        <v>46176</v>
      </c>
      <c r="J228">
        <v>10000</v>
      </c>
      <c r="K228">
        <v>3000</v>
      </c>
      <c r="L228">
        <v>13000</v>
      </c>
      <c r="M228">
        <v>8333</v>
      </c>
      <c r="N228">
        <v>2497</v>
      </c>
      <c r="O228">
        <v>2167</v>
      </c>
      <c r="P228">
        <v>2164</v>
      </c>
      <c r="Q228" s="10">
        <f t="shared" si="3"/>
        <v>2164</v>
      </c>
      <c r="R228" t="s">
        <v>1325</v>
      </c>
    </row>
    <row r="229" spans="1:18" x14ac:dyDescent="0.25">
      <c r="A229" t="s">
        <v>257</v>
      </c>
      <c r="B229" t="s">
        <v>684</v>
      </c>
      <c r="C229" t="s">
        <v>1111</v>
      </c>
      <c r="D229" t="s">
        <v>1300</v>
      </c>
      <c r="E229">
        <v>1</v>
      </c>
      <c r="F229">
        <v>208</v>
      </c>
      <c r="G229">
        <v>4540</v>
      </c>
      <c r="H229" s="1">
        <v>46190</v>
      </c>
      <c r="I229" s="1">
        <v>46162</v>
      </c>
      <c r="J229">
        <v>10000</v>
      </c>
      <c r="K229">
        <v>3000</v>
      </c>
      <c r="L229">
        <v>13000</v>
      </c>
      <c r="M229">
        <v>3540</v>
      </c>
      <c r="N229">
        <v>1000</v>
      </c>
      <c r="O229">
        <v>2167</v>
      </c>
      <c r="P229">
        <v>208</v>
      </c>
      <c r="Q229" s="10">
        <f t="shared" si="3"/>
        <v>208</v>
      </c>
      <c r="R229" t="s">
        <v>1326</v>
      </c>
    </row>
    <row r="230" spans="1:18" x14ac:dyDescent="0.25">
      <c r="A230" t="s">
        <v>258</v>
      </c>
      <c r="B230" t="s">
        <v>685</v>
      </c>
      <c r="C230" t="s">
        <v>1112</v>
      </c>
      <c r="D230" t="s">
        <v>1299</v>
      </c>
      <c r="E230">
        <v>1</v>
      </c>
      <c r="F230">
        <v>2600</v>
      </c>
      <c r="G230">
        <v>7800</v>
      </c>
      <c r="H230" s="1">
        <v>46190</v>
      </c>
      <c r="I230" s="1">
        <v>46162</v>
      </c>
      <c r="J230">
        <v>12000</v>
      </c>
      <c r="K230">
        <v>3600</v>
      </c>
      <c r="L230">
        <v>15600</v>
      </c>
      <c r="M230">
        <v>6000</v>
      </c>
      <c r="N230">
        <v>1800</v>
      </c>
      <c r="O230">
        <v>2600</v>
      </c>
      <c r="P230">
        <v>2600</v>
      </c>
      <c r="Q230" s="10">
        <f t="shared" si="3"/>
        <v>2600</v>
      </c>
      <c r="R230" t="s">
        <v>1326</v>
      </c>
    </row>
    <row r="231" spans="1:18" x14ac:dyDescent="0.25">
      <c r="A231" t="s">
        <v>259</v>
      </c>
      <c r="B231" t="s">
        <v>686</v>
      </c>
      <c r="C231" t="s">
        <v>1113</v>
      </c>
      <c r="D231" t="s">
        <v>1299</v>
      </c>
      <c r="E231">
        <v>3</v>
      </c>
      <c r="F231">
        <v>829</v>
      </c>
      <c r="G231">
        <v>9930</v>
      </c>
      <c r="H231" s="1">
        <v>46188</v>
      </c>
      <c r="I231" s="1">
        <v>46167</v>
      </c>
      <c r="J231">
        <v>14000</v>
      </c>
      <c r="K231">
        <v>4200</v>
      </c>
      <c r="L231">
        <v>18200</v>
      </c>
      <c r="M231">
        <v>7830</v>
      </c>
      <c r="N231">
        <v>2100</v>
      </c>
      <c r="O231">
        <v>3033</v>
      </c>
      <c r="P231">
        <v>829</v>
      </c>
      <c r="Q231" s="10">
        <f t="shared" si="3"/>
        <v>829</v>
      </c>
      <c r="R231" t="s">
        <v>1326</v>
      </c>
    </row>
    <row r="232" spans="1:18" x14ac:dyDescent="0.25">
      <c r="A232" t="s">
        <v>260</v>
      </c>
      <c r="B232" t="s">
        <v>687</v>
      </c>
      <c r="C232" t="s">
        <v>1114</v>
      </c>
      <c r="D232" t="s">
        <v>1300</v>
      </c>
      <c r="E232">
        <v>1</v>
      </c>
      <c r="F232">
        <v>26</v>
      </c>
      <c r="G232">
        <v>7360</v>
      </c>
      <c r="H232" s="1">
        <v>46190</v>
      </c>
      <c r="I232" s="1">
        <v>46176</v>
      </c>
      <c r="J232">
        <v>8000</v>
      </c>
      <c r="K232">
        <v>3000</v>
      </c>
      <c r="L232">
        <v>11000</v>
      </c>
      <c r="M232">
        <v>5360</v>
      </c>
      <c r="N232">
        <v>2000</v>
      </c>
      <c r="O232">
        <v>1833</v>
      </c>
      <c r="P232">
        <v>26</v>
      </c>
      <c r="Q232" s="10">
        <f t="shared" si="3"/>
        <v>26</v>
      </c>
      <c r="R232" t="s">
        <v>1326</v>
      </c>
    </row>
    <row r="233" spans="1:18" x14ac:dyDescent="0.25">
      <c r="A233" t="s">
        <v>261</v>
      </c>
      <c r="B233" t="s">
        <v>688</v>
      </c>
      <c r="C233" t="s">
        <v>1115</v>
      </c>
      <c r="D233" t="s">
        <v>1300</v>
      </c>
      <c r="E233">
        <v>1</v>
      </c>
      <c r="F233">
        <v>1995</v>
      </c>
      <c r="G233">
        <v>11970</v>
      </c>
      <c r="H233" s="1">
        <v>46190</v>
      </c>
      <c r="I233" s="1">
        <v>46183</v>
      </c>
      <c r="J233">
        <v>9000</v>
      </c>
      <c r="K233">
        <v>2970</v>
      </c>
      <c r="L233">
        <v>11970</v>
      </c>
      <c r="M233">
        <v>9000</v>
      </c>
      <c r="N233">
        <v>2970</v>
      </c>
      <c r="O233">
        <v>1995</v>
      </c>
      <c r="P233">
        <v>1995</v>
      </c>
      <c r="Q233" s="10">
        <f t="shared" si="3"/>
        <v>1995</v>
      </c>
      <c r="R233" t="s">
        <v>1326</v>
      </c>
    </row>
    <row r="234" spans="1:18" x14ac:dyDescent="0.25">
      <c r="A234" t="s">
        <v>262</v>
      </c>
      <c r="B234" t="s">
        <v>689</v>
      </c>
      <c r="C234" t="s">
        <v>1116</v>
      </c>
      <c r="D234" t="s">
        <v>1300</v>
      </c>
      <c r="E234">
        <v>24</v>
      </c>
      <c r="F234">
        <v>1820</v>
      </c>
      <c r="G234">
        <v>1820</v>
      </c>
      <c r="H234" s="1">
        <v>46167</v>
      </c>
      <c r="I234" s="1">
        <v>46125</v>
      </c>
      <c r="J234">
        <v>10000</v>
      </c>
      <c r="K234">
        <v>3000</v>
      </c>
      <c r="L234">
        <v>13000</v>
      </c>
      <c r="M234">
        <v>1665</v>
      </c>
      <c r="N234">
        <v>155</v>
      </c>
      <c r="O234">
        <v>2167</v>
      </c>
      <c r="P234">
        <v>1820</v>
      </c>
      <c r="Q234" s="10">
        <f t="shared" si="3"/>
        <v>1820</v>
      </c>
      <c r="R234" t="s">
        <v>1326</v>
      </c>
    </row>
    <row r="235" spans="1:18" x14ac:dyDescent="0.25">
      <c r="A235" t="s">
        <v>263</v>
      </c>
      <c r="B235" t="s">
        <v>690</v>
      </c>
      <c r="C235" t="s">
        <v>1117</v>
      </c>
      <c r="D235" t="s">
        <v>1299</v>
      </c>
      <c r="E235">
        <v>1</v>
      </c>
      <c r="F235">
        <v>1600</v>
      </c>
      <c r="G235">
        <v>6800</v>
      </c>
      <c r="H235" s="1">
        <v>46190</v>
      </c>
      <c r="I235" s="1">
        <v>46162</v>
      </c>
      <c r="J235">
        <v>12000</v>
      </c>
      <c r="K235">
        <v>3600</v>
      </c>
      <c r="L235">
        <v>15600</v>
      </c>
      <c r="M235">
        <v>5600</v>
      </c>
      <c r="N235">
        <v>1200</v>
      </c>
      <c r="O235">
        <v>2600</v>
      </c>
      <c r="P235">
        <v>1600</v>
      </c>
      <c r="Q235" s="10">
        <f t="shared" si="3"/>
        <v>1600</v>
      </c>
      <c r="R235" t="s">
        <v>1326</v>
      </c>
    </row>
    <row r="236" spans="1:18" x14ac:dyDescent="0.25">
      <c r="A236" t="s">
        <v>264</v>
      </c>
      <c r="B236" t="s">
        <v>691</v>
      </c>
      <c r="C236" t="s">
        <v>1118</v>
      </c>
      <c r="D236" t="s">
        <v>1299</v>
      </c>
      <c r="E236">
        <v>1</v>
      </c>
      <c r="F236">
        <v>700</v>
      </c>
      <c r="G236">
        <v>13700</v>
      </c>
      <c r="H236" s="1">
        <v>46190</v>
      </c>
      <c r="I236" s="1">
        <v>46183</v>
      </c>
      <c r="J236">
        <v>12000</v>
      </c>
      <c r="K236">
        <v>3600</v>
      </c>
      <c r="L236">
        <v>15600</v>
      </c>
      <c r="M236">
        <v>10700</v>
      </c>
      <c r="N236">
        <v>3000</v>
      </c>
      <c r="O236">
        <v>2600</v>
      </c>
      <c r="P236">
        <v>700</v>
      </c>
      <c r="Q236" s="10">
        <f t="shared" si="3"/>
        <v>700</v>
      </c>
      <c r="R236" t="s">
        <v>1326</v>
      </c>
    </row>
    <row r="237" spans="1:18" x14ac:dyDescent="0.25">
      <c r="A237" t="s">
        <v>265</v>
      </c>
      <c r="B237" t="s">
        <v>692</v>
      </c>
      <c r="C237" t="s">
        <v>1119</v>
      </c>
      <c r="D237" t="s">
        <v>1299</v>
      </c>
      <c r="E237">
        <v>7</v>
      </c>
      <c r="F237">
        <v>2850</v>
      </c>
      <c r="G237">
        <v>2850</v>
      </c>
      <c r="H237" s="1">
        <v>46184</v>
      </c>
      <c r="I237" s="1">
        <v>46149</v>
      </c>
      <c r="J237">
        <v>12000</v>
      </c>
      <c r="K237">
        <v>3600</v>
      </c>
      <c r="L237">
        <v>15600</v>
      </c>
      <c r="M237">
        <v>2250</v>
      </c>
      <c r="N237">
        <v>600</v>
      </c>
      <c r="O237">
        <v>2600</v>
      </c>
      <c r="P237">
        <v>2850</v>
      </c>
      <c r="Q237" s="10">
        <f t="shared" si="3"/>
        <v>2850</v>
      </c>
      <c r="R237" t="s">
        <v>1326</v>
      </c>
    </row>
    <row r="238" spans="1:18" x14ac:dyDescent="0.25">
      <c r="A238" t="s">
        <v>266</v>
      </c>
      <c r="B238" t="s">
        <v>693</v>
      </c>
      <c r="C238" t="s">
        <v>1120</v>
      </c>
      <c r="D238" t="s">
        <v>1300</v>
      </c>
      <c r="E238">
        <v>15</v>
      </c>
      <c r="F238">
        <v>6498</v>
      </c>
      <c r="G238">
        <v>10830</v>
      </c>
      <c r="H238" s="1">
        <v>46176</v>
      </c>
      <c r="I238" s="1">
        <v>46162</v>
      </c>
      <c r="J238">
        <v>10000</v>
      </c>
      <c r="K238">
        <v>3000</v>
      </c>
      <c r="L238">
        <v>13000</v>
      </c>
      <c r="M238">
        <v>8333</v>
      </c>
      <c r="N238">
        <v>2497</v>
      </c>
      <c r="O238">
        <v>2167</v>
      </c>
      <c r="P238">
        <v>6498</v>
      </c>
      <c r="Q238" s="10">
        <f t="shared" si="3"/>
        <v>6498</v>
      </c>
      <c r="R238" t="s">
        <v>1326</v>
      </c>
    </row>
    <row r="239" spans="1:18" x14ac:dyDescent="0.25">
      <c r="A239" t="s">
        <v>267</v>
      </c>
      <c r="B239" t="s">
        <v>694</v>
      </c>
      <c r="C239" t="s">
        <v>1121</v>
      </c>
      <c r="D239" t="s">
        <v>1299</v>
      </c>
      <c r="E239">
        <v>3</v>
      </c>
      <c r="F239">
        <v>100</v>
      </c>
      <c r="G239">
        <v>13100</v>
      </c>
      <c r="H239" s="1">
        <v>46188</v>
      </c>
      <c r="I239" s="1">
        <v>46181</v>
      </c>
      <c r="J239">
        <v>12000</v>
      </c>
      <c r="K239">
        <v>3600</v>
      </c>
      <c r="L239">
        <v>15600</v>
      </c>
      <c r="M239">
        <v>10100</v>
      </c>
      <c r="N239">
        <v>3000</v>
      </c>
      <c r="O239">
        <v>2600</v>
      </c>
      <c r="P239">
        <v>100</v>
      </c>
      <c r="Q239" s="10">
        <f t="shared" si="3"/>
        <v>100</v>
      </c>
      <c r="R239" t="s">
        <v>1326</v>
      </c>
    </row>
    <row r="240" spans="1:18" x14ac:dyDescent="0.25">
      <c r="A240" t="s">
        <v>268</v>
      </c>
      <c r="B240" t="s">
        <v>695</v>
      </c>
      <c r="C240" t="s">
        <v>1122</v>
      </c>
      <c r="D240" t="s">
        <v>1300</v>
      </c>
      <c r="E240">
        <v>15</v>
      </c>
      <c r="F240">
        <v>3020</v>
      </c>
      <c r="G240">
        <v>3020</v>
      </c>
      <c r="H240" s="1">
        <v>46176</v>
      </c>
      <c r="I240" s="1">
        <v>46141</v>
      </c>
      <c r="J240">
        <v>10000</v>
      </c>
      <c r="K240">
        <v>3000</v>
      </c>
      <c r="L240">
        <v>13000</v>
      </c>
      <c r="M240">
        <v>2520</v>
      </c>
      <c r="N240">
        <v>500</v>
      </c>
      <c r="O240">
        <v>2167</v>
      </c>
      <c r="P240">
        <v>3020</v>
      </c>
      <c r="Q240" s="10">
        <f t="shared" si="3"/>
        <v>3020</v>
      </c>
      <c r="R240" t="s">
        <v>1326</v>
      </c>
    </row>
    <row r="241" spans="1:18" x14ac:dyDescent="0.25">
      <c r="A241" t="s">
        <v>269</v>
      </c>
      <c r="B241" t="s">
        <v>696</v>
      </c>
      <c r="C241" t="s">
        <v>1123</v>
      </c>
      <c r="D241" t="s">
        <v>1300</v>
      </c>
      <c r="E241">
        <v>1</v>
      </c>
      <c r="F241">
        <v>1500</v>
      </c>
      <c r="G241">
        <v>1500</v>
      </c>
      <c r="H241" s="1">
        <v>46190</v>
      </c>
      <c r="I241" s="1">
        <v>46148</v>
      </c>
      <c r="J241">
        <v>6000</v>
      </c>
      <c r="K241">
        <v>3000</v>
      </c>
      <c r="L241">
        <v>9000</v>
      </c>
      <c r="M241">
        <v>1000</v>
      </c>
      <c r="N241">
        <v>500</v>
      </c>
      <c r="O241">
        <v>1500</v>
      </c>
      <c r="P241">
        <v>1500</v>
      </c>
      <c r="Q241" s="10">
        <f t="shared" si="3"/>
        <v>1500</v>
      </c>
      <c r="R241" t="s">
        <v>1326</v>
      </c>
    </row>
    <row r="242" spans="1:18" x14ac:dyDescent="0.25">
      <c r="A242" t="s">
        <v>270</v>
      </c>
      <c r="B242" t="s">
        <v>697</v>
      </c>
      <c r="C242" t="s">
        <v>1124</v>
      </c>
      <c r="D242" t="s">
        <v>1300</v>
      </c>
      <c r="E242">
        <v>1</v>
      </c>
      <c r="F242">
        <v>2160</v>
      </c>
      <c r="G242">
        <v>2160</v>
      </c>
      <c r="H242" s="1">
        <v>46190</v>
      </c>
      <c r="I242" s="1">
        <v>46148</v>
      </c>
      <c r="J242">
        <v>10000</v>
      </c>
      <c r="K242">
        <v>3000</v>
      </c>
      <c r="L242">
        <v>13000</v>
      </c>
      <c r="M242">
        <v>1665</v>
      </c>
      <c r="N242">
        <v>495</v>
      </c>
      <c r="O242">
        <v>2167</v>
      </c>
      <c r="P242">
        <v>2160</v>
      </c>
      <c r="Q242" s="10">
        <f t="shared" si="3"/>
        <v>2160</v>
      </c>
      <c r="R242" t="s">
        <v>1326</v>
      </c>
    </row>
    <row r="243" spans="1:18" x14ac:dyDescent="0.25">
      <c r="A243" t="s">
        <v>271</v>
      </c>
      <c r="B243" t="s">
        <v>698</v>
      </c>
      <c r="C243" t="s">
        <v>1125</v>
      </c>
      <c r="D243" t="s">
        <v>1300</v>
      </c>
      <c r="E243">
        <v>7</v>
      </c>
      <c r="F243">
        <v>2174</v>
      </c>
      <c r="G243">
        <v>4339</v>
      </c>
      <c r="H243" s="1">
        <v>46184</v>
      </c>
      <c r="I243" s="1">
        <v>46156</v>
      </c>
      <c r="J243">
        <v>10000</v>
      </c>
      <c r="K243">
        <v>3000</v>
      </c>
      <c r="L243">
        <v>13000</v>
      </c>
      <c r="M243">
        <v>3339</v>
      </c>
      <c r="N243">
        <v>1000</v>
      </c>
      <c r="O243">
        <v>2167</v>
      </c>
      <c r="P243">
        <v>2174</v>
      </c>
      <c r="Q243" s="10">
        <f t="shared" si="3"/>
        <v>2174</v>
      </c>
      <c r="R243" t="s">
        <v>1326</v>
      </c>
    </row>
    <row r="244" spans="1:18" x14ac:dyDescent="0.25">
      <c r="A244" t="s">
        <v>272</v>
      </c>
      <c r="B244" t="s">
        <v>699</v>
      </c>
      <c r="C244" t="s">
        <v>1126</v>
      </c>
      <c r="D244" t="s">
        <v>1300</v>
      </c>
      <c r="E244">
        <v>1</v>
      </c>
      <c r="F244">
        <v>2158</v>
      </c>
      <c r="G244">
        <v>6490</v>
      </c>
      <c r="H244" s="1">
        <v>46190</v>
      </c>
      <c r="I244" s="1">
        <v>46162</v>
      </c>
      <c r="J244">
        <v>10000</v>
      </c>
      <c r="K244">
        <v>3000</v>
      </c>
      <c r="L244">
        <v>13000</v>
      </c>
      <c r="M244">
        <v>4999</v>
      </c>
      <c r="N244">
        <v>1491</v>
      </c>
      <c r="O244">
        <v>2167</v>
      </c>
      <c r="P244">
        <v>2158</v>
      </c>
      <c r="Q244" s="10">
        <f t="shared" si="3"/>
        <v>2158</v>
      </c>
      <c r="R244" t="s">
        <v>1326</v>
      </c>
    </row>
    <row r="245" spans="1:18" x14ac:dyDescent="0.25">
      <c r="A245" t="s">
        <v>273</v>
      </c>
      <c r="B245" t="s">
        <v>700</v>
      </c>
      <c r="C245" t="s">
        <v>1127</v>
      </c>
      <c r="D245" t="s">
        <v>1300</v>
      </c>
      <c r="E245">
        <v>2</v>
      </c>
      <c r="F245">
        <v>3000</v>
      </c>
      <c r="G245">
        <v>6000</v>
      </c>
      <c r="H245" s="1">
        <v>46189</v>
      </c>
      <c r="I245" s="1">
        <v>46168</v>
      </c>
      <c r="J245">
        <v>10000</v>
      </c>
      <c r="K245">
        <v>2000</v>
      </c>
      <c r="L245">
        <v>12000</v>
      </c>
      <c r="M245">
        <v>5000</v>
      </c>
      <c r="N245">
        <v>1000</v>
      </c>
      <c r="O245">
        <v>3000</v>
      </c>
      <c r="P245">
        <v>3000</v>
      </c>
      <c r="Q245" s="10">
        <f t="shared" si="3"/>
        <v>3000</v>
      </c>
      <c r="R245" t="s">
        <v>1326</v>
      </c>
    </row>
    <row r="246" spans="1:18" x14ac:dyDescent="0.25">
      <c r="A246" t="s">
        <v>274</v>
      </c>
      <c r="B246" t="s">
        <v>701</v>
      </c>
      <c r="C246" t="s">
        <v>1128</v>
      </c>
      <c r="D246" t="s">
        <v>1299</v>
      </c>
      <c r="E246">
        <v>2</v>
      </c>
      <c r="F246">
        <v>1033</v>
      </c>
      <c r="G246">
        <v>16200</v>
      </c>
      <c r="H246" s="1">
        <v>46189</v>
      </c>
      <c r="I246" s="1">
        <v>46182</v>
      </c>
      <c r="J246">
        <v>14000</v>
      </c>
      <c r="K246">
        <v>4200</v>
      </c>
      <c r="L246">
        <v>18200</v>
      </c>
      <c r="M246">
        <v>12700</v>
      </c>
      <c r="N246">
        <v>3500</v>
      </c>
      <c r="O246">
        <v>3033</v>
      </c>
      <c r="P246">
        <v>1033</v>
      </c>
      <c r="Q246" s="10">
        <f t="shared" si="3"/>
        <v>1033</v>
      </c>
      <c r="R246" t="s">
        <v>1326</v>
      </c>
    </row>
    <row r="247" spans="1:18" x14ac:dyDescent="0.25">
      <c r="A247" t="s">
        <v>275</v>
      </c>
      <c r="B247" t="s">
        <v>702</v>
      </c>
      <c r="C247" t="s">
        <v>1129</v>
      </c>
      <c r="D247" t="s">
        <v>1300</v>
      </c>
      <c r="E247">
        <v>2</v>
      </c>
      <c r="F247">
        <v>515</v>
      </c>
      <c r="G247">
        <v>2180</v>
      </c>
      <c r="H247" s="1">
        <v>46189</v>
      </c>
      <c r="I247" s="1">
        <v>46154</v>
      </c>
      <c r="J247">
        <v>7000</v>
      </c>
      <c r="K247">
        <v>3010</v>
      </c>
      <c r="L247">
        <v>10010</v>
      </c>
      <c r="M247">
        <v>1680</v>
      </c>
      <c r="N247">
        <v>500</v>
      </c>
      <c r="O247">
        <v>1669</v>
      </c>
      <c r="P247">
        <v>515</v>
      </c>
      <c r="Q247" s="10">
        <f t="shared" si="3"/>
        <v>515</v>
      </c>
      <c r="R247" t="s">
        <v>1326</v>
      </c>
    </row>
    <row r="248" spans="1:18" x14ac:dyDescent="0.25">
      <c r="A248" t="s">
        <v>276</v>
      </c>
      <c r="B248" t="s">
        <v>703</v>
      </c>
      <c r="C248" t="s">
        <v>1130</v>
      </c>
      <c r="D248" t="s">
        <v>1300</v>
      </c>
      <c r="E248">
        <v>2</v>
      </c>
      <c r="F248">
        <v>1645</v>
      </c>
      <c r="G248">
        <v>3310</v>
      </c>
      <c r="H248" s="1">
        <v>46189</v>
      </c>
      <c r="I248" s="1">
        <v>46154</v>
      </c>
      <c r="J248">
        <v>7000</v>
      </c>
      <c r="K248">
        <v>3010</v>
      </c>
      <c r="L248">
        <v>10010</v>
      </c>
      <c r="M248">
        <v>2332</v>
      </c>
      <c r="N248">
        <v>978</v>
      </c>
      <c r="O248">
        <v>1669</v>
      </c>
      <c r="P248">
        <v>1645</v>
      </c>
      <c r="Q248" s="10">
        <f t="shared" si="3"/>
        <v>1645</v>
      </c>
      <c r="R248" t="s">
        <v>1326</v>
      </c>
    </row>
    <row r="249" spans="1:18" x14ac:dyDescent="0.25">
      <c r="A249" t="s">
        <v>277</v>
      </c>
      <c r="B249" t="s">
        <v>704</v>
      </c>
      <c r="C249" t="s">
        <v>1131</v>
      </c>
      <c r="D249" t="s">
        <v>1300</v>
      </c>
      <c r="E249">
        <v>1</v>
      </c>
      <c r="F249">
        <v>2158</v>
      </c>
      <c r="G249">
        <v>6490</v>
      </c>
      <c r="H249" s="1">
        <v>46190</v>
      </c>
      <c r="I249" s="1">
        <v>46162</v>
      </c>
      <c r="J249">
        <v>10000</v>
      </c>
      <c r="K249">
        <v>3000</v>
      </c>
      <c r="L249">
        <v>13000</v>
      </c>
      <c r="M249">
        <v>4999</v>
      </c>
      <c r="N249">
        <v>1491</v>
      </c>
      <c r="O249">
        <v>2167</v>
      </c>
      <c r="P249">
        <v>2158</v>
      </c>
      <c r="Q249" s="10">
        <f t="shared" si="3"/>
        <v>2158</v>
      </c>
      <c r="R249" t="s">
        <v>1326</v>
      </c>
    </row>
    <row r="250" spans="1:18" x14ac:dyDescent="0.25">
      <c r="A250" t="s">
        <v>278</v>
      </c>
      <c r="B250" t="s">
        <v>705</v>
      </c>
      <c r="C250" t="s">
        <v>1132</v>
      </c>
      <c r="D250" t="s">
        <v>1300</v>
      </c>
      <c r="E250">
        <v>1</v>
      </c>
      <c r="F250">
        <v>194</v>
      </c>
      <c r="G250">
        <v>8860</v>
      </c>
      <c r="H250" s="1">
        <v>46190</v>
      </c>
      <c r="I250" s="1">
        <v>46176</v>
      </c>
      <c r="J250">
        <v>10000</v>
      </c>
      <c r="K250">
        <v>3000</v>
      </c>
      <c r="L250">
        <v>13000</v>
      </c>
      <c r="M250">
        <v>6860</v>
      </c>
      <c r="N250">
        <v>2000</v>
      </c>
      <c r="O250">
        <v>2167</v>
      </c>
      <c r="P250">
        <v>194</v>
      </c>
      <c r="Q250" s="10">
        <f t="shared" si="3"/>
        <v>194</v>
      </c>
      <c r="R250" t="s">
        <v>1326</v>
      </c>
    </row>
    <row r="251" spans="1:18" x14ac:dyDescent="0.25">
      <c r="A251" t="s">
        <v>279</v>
      </c>
      <c r="B251" t="s">
        <v>706</v>
      </c>
      <c r="C251" t="s">
        <v>1133</v>
      </c>
      <c r="D251" t="s">
        <v>1300</v>
      </c>
      <c r="E251">
        <v>10</v>
      </c>
      <c r="F251">
        <v>1818</v>
      </c>
      <c r="G251">
        <v>1818</v>
      </c>
      <c r="H251" s="1">
        <v>46181</v>
      </c>
      <c r="I251" s="1">
        <v>46139</v>
      </c>
      <c r="J251">
        <v>10000</v>
      </c>
      <c r="K251">
        <v>3000</v>
      </c>
      <c r="L251">
        <v>13000</v>
      </c>
      <c r="M251">
        <v>1665</v>
      </c>
      <c r="N251">
        <v>153</v>
      </c>
      <c r="O251">
        <v>2167</v>
      </c>
      <c r="P251">
        <v>1818</v>
      </c>
      <c r="Q251" s="10">
        <f t="shared" si="3"/>
        <v>1818</v>
      </c>
      <c r="R251" t="s">
        <v>1326</v>
      </c>
    </row>
    <row r="252" spans="1:18" x14ac:dyDescent="0.25">
      <c r="A252" t="s">
        <v>280</v>
      </c>
      <c r="B252" t="s">
        <v>707</v>
      </c>
      <c r="C252" t="s">
        <v>1134</v>
      </c>
      <c r="D252" t="s">
        <v>1300</v>
      </c>
      <c r="E252">
        <v>9</v>
      </c>
      <c r="F252">
        <v>1000</v>
      </c>
      <c r="G252">
        <v>1000</v>
      </c>
      <c r="H252" s="1">
        <v>46182</v>
      </c>
      <c r="I252" s="1">
        <v>46140</v>
      </c>
      <c r="J252">
        <v>10000</v>
      </c>
      <c r="K252">
        <v>3000</v>
      </c>
      <c r="L252">
        <v>13000</v>
      </c>
      <c r="M252">
        <v>1000</v>
      </c>
      <c r="N252">
        <v>0</v>
      </c>
      <c r="O252">
        <v>2167</v>
      </c>
      <c r="P252">
        <v>1000</v>
      </c>
      <c r="Q252" s="10">
        <f t="shared" si="3"/>
        <v>1000</v>
      </c>
      <c r="R252" t="s">
        <v>1326</v>
      </c>
    </row>
    <row r="253" spans="1:18" x14ac:dyDescent="0.25">
      <c r="A253" t="s">
        <v>281</v>
      </c>
      <c r="B253" t="s">
        <v>708</v>
      </c>
      <c r="C253" t="s">
        <v>1135</v>
      </c>
      <c r="D253" t="s">
        <v>1300</v>
      </c>
      <c r="E253">
        <v>13</v>
      </c>
      <c r="F253">
        <v>500</v>
      </c>
      <c r="G253">
        <v>500</v>
      </c>
      <c r="H253" s="1">
        <v>46178</v>
      </c>
      <c r="I253" s="1">
        <v>46150</v>
      </c>
      <c r="J253">
        <v>10000</v>
      </c>
      <c r="K253">
        <v>2000</v>
      </c>
      <c r="L253">
        <v>12000</v>
      </c>
      <c r="M253">
        <v>500</v>
      </c>
      <c r="N253">
        <v>0</v>
      </c>
      <c r="O253">
        <v>3000</v>
      </c>
      <c r="P253">
        <v>500</v>
      </c>
      <c r="Q253" s="10">
        <f t="shared" si="3"/>
        <v>500</v>
      </c>
      <c r="R253" t="s">
        <v>1326</v>
      </c>
    </row>
    <row r="254" spans="1:18" x14ac:dyDescent="0.25">
      <c r="A254" t="s">
        <v>282</v>
      </c>
      <c r="B254" t="s">
        <v>709</v>
      </c>
      <c r="C254" t="s">
        <v>1136</v>
      </c>
      <c r="D254" t="s">
        <v>1300</v>
      </c>
      <c r="E254">
        <v>17</v>
      </c>
      <c r="F254">
        <v>5000</v>
      </c>
      <c r="G254">
        <v>5000</v>
      </c>
      <c r="H254" s="1">
        <v>46174</v>
      </c>
      <c r="I254" s="1">
        <v>46153</v>
      </c>
      <c r="J254">
        <v>10000</v>
      </c>
      <c r="K254">
        <v>2000</v>
      </c>
      <c r="L254">
        <v>12000</v>
      </c>
      <c r="M254">
        <v>4500</v>
      </c>
      <c r="N254">
        <v>500</v>
      </c>
      <c r="O254">
        <v>3000</v>
      </c>
      <c r="P254">
        <v>5000</v>
      </c>
      <c r="Q254" s="10">
        <f t="shared" si="3"/>
        <v>5000</v>
      </c>
      <c r="R254" t="s">
        <v>1326</v>
      </c>
    </row>
    <row r="255" spans="1:18" x14ac:dyDescent="0.25">
      <c r="A255" t="s">
        <v>283</v>
      </c>
      <c r="B255" t="s">
        <v>710</v>
      </c>
      <c r="C255" t="s">
        <v>1137</v>
      </c>
      <c r="D255" t="s">
        <v>1300</v>
      </c>
      <c r="E255">
        <v>2</v>
      </c>
      <c r="F255">
        <v>95</v>
      </c>
      <c r="G255">
        <v>1760</v>
      </c>
      <c r="H255" s="1">
        <v>46189</v>
      </c>
      <c r="I255" s="1">
        <v>46154</v>
      </c>
      <c r="J255">
        <v>7000</v>
      </c>
      <c r="K255">
        <v>3010</v>
      </c>
      <c r="L255">
        <v>10010</v>
      </c>
      <c r="M255">
        <v>1260</v>
      </c>
      <c r="N255">
        <v>500</v>
      </c>
      <c r="O255">
        <v>1669</v>
      </c>
      <c r="P255">
        <v>95</v>
      </c>
      <c r="Q255" s="10">
        <f t="shared" si="3"/>
        <v>95</v>
      </c>
      <c r="R255" t="s">
        <v>1326</v>
      </c>
    </row>
    <row r="256" spans="1:18" x14ac:dyDescent="0.25">
      <c r="A256" t="s">
        <v>284</v>
      </c>
      <c r="B256" t="s">
        <v>711</v>
      </c>
      <c r="C256" t="s">
        <v>1138</v>
      </c>
      <c r="D256" t="s">
        <v>1300</v>
      </c>
      <c r="E256">
        <v>1</v>
      </c>
      <c r="F256">
        <v>1558</v>
      </c>
      <c r="G256">
        <v>5890</v>
      </c>
      <c r="H256" s="1">
        <v>46190</v>
      </c>
      <c r="I256" s="1">
        <v>46162</v>
      </c>
      <c r="J256">
        <v>10000</v>
      </c>
      <c r="K256">
        <v>3000</v>
      </c>
      <c r="L256">
        <v>13000</v>
      </c>
      <c r="M256">
        <v>4890</v>
      </c>
      <c r="N256">
        <v>1000</v>
      </c>
      <c r="O256">
        <v>2167</v>
      </c>
      <c r="P256">
        <v>1558</v>
      </c>
      <c r="Q256" s="10">
        <f t="shared" si="3"/>
        <v>1558</v>
      </c>
      <c r="R256" t="s">
        <v>1326</v>
      </c>
    </row>
    <row r="257" spans="1:18" x14ac:dyDescent="0.25">
      <c r="A257" t="s">
        <v>285</v>
      </c>
      <c r="B257" t="s">
        <v>712</v>
      </c>
      <c r="C257" t="s">
        <v>1139</v>
      </c>
      <c r="D257" t="s">
        <v>1300</v>
      </c>
      <c r="E257">
        <v>1</v>
      </c>
      <c r="F257">
        <v>628</v>
      </c>
      <c r="G257">
        <v>4960</v>
      </c>
      <c r="H257" s="1">
        <v>46190</v>
      </c>
      <c r="I257" s="1">
        <v>46162</v>
      </c>
      <c r="J257">
        <v>10000</v>
      </c>
      <c r="K257">
        <v>3000</v>
      </c>
      <c r="L257">
        <v>13000</v>
      </c>
      <c r="M257">
        <v>3960</v>
      </c>
      <c r="N257">
        <v>1000</v>
      </c>
      <c r="O257">
        <v>2167</v>
      </c>
      <c r="P257">
        <v>628</v>
      </c>
      <c r="Q257" s="10">
        <f t="shared" si="3"/>
        <v>628</v>
      </c>
      <c r="R257" t="s">
        <v>1326</v>
      </c>
    </row>
    <row r="258" spans="1:18" x14ac:dyDescent="0.25">
      <c r="A258" t="s">
        <v>286</v>
      </c>
      <c r="B258" t="s">
        <v>713</v>
      </c>
      <c r="C258" t="s">
        <v>1140</v>
      </c>
      <c r="D258" t="s">
        <v>1300</v>
      </c>
      <c r="E258">
        <v>7</v>
      </c>
      <c r="F258">
        <v>3648</v>
      </c>
      <c r="G258">
        <v>7980</v>
      </c>
      <c r="H258" s="1">
        <v>46184</v>
      </c>
      <c r="I258" s="1">
        <v>46163</v>
      </c>
      <c r="J258">
        <v>10000</v>
      </c>
      <c r="K258">
        <v>3000</v>
      </c>
      <c r="L258">
        <v>13000</v>
      </c>
      <c r="M258">
        <v>6480</v>
      </c>
      <c r="N258">
        <v>1500</v>
      </c>
      <c r="O258">
        <v>2167</v>
      </c>
      <c r="P258">
        <v>3648</v>
      </c>
      <c r="Q258" s="10">
        <f t="shared" si="3"/>
        <v>3648</v>
      </c>
      <c r="R258" t="s">
        <v>1326</v>
      </c>
    </row>
    <row r="259" spans="1:18" x14ac:dyDescent="0.25">
      <c r="A259" t="s">
        <v>315</v>
      </c>
      <c r="B259" t="s">
        <v>742</v>
      </c>
      <c r="C259" t="s">
        <v>1169</v>
      </c>
      <c r="D259" t="s">
        <v>1299</v>
      </c>
      <c r="E259">
        <v>24</v>
      </c>
      <c r="F259">
        <v>7800</v>
      </c>
      <c r="G259">
        <v>7800</v>
      </c>
      <c r="H259" s="1">
        <v>46167</v>
      </c>
      <c r="I259" s="1">
        <v>46139</v>
      </c>
      <c r="J259">
        <v>13000</v>
      </c>
      <c r="K259">
        <v>3900</v>
      </c>
      <c r="L259">
        <v>16900</v>
      </c>
      <c r="M259">
        <v>6499</v>
      </c>
      <c r="N259">
        <v>1301</v>
      </c>
      <c r="O259">
        <v>2817</v>
      </c>
      <c r="P259">
        <v>7800</v>
      </c>
      <c r="Q259" s="10">
        <f t="shared" ref="Q259:Q322" si="4">P259</f>
        <v>7800</v>
      </c>
      <c r="R259" t="s">
        <v>1328</v>
      </c>
    </row>
    <row r="260" spans="1:18" x14ac:dyDescent="0.25">
      <c r="A260" t="s">
        <v>316</v>
      </c>
      <c r="B260" t="s">
        <v>743</v>
      </c>
      <c r="C260" t="s">
        <v>1170</v>
      </c>
      <c r="D260" t="s">
        <v>1299</v>
      </c>
      <c r="E260">
        <v>3</v>
      </c>
      <c r="F260">
        <v>1815</v>
      </c>
      <c r="G260">
        <v>4630</v>
      </c>
      <c r="H260" s="1">
        <v>46188</v>
      </c>
      <c r="I260" s="1">
        <v>46153</v>
      </c>
      <c r="J260">
        <v>13000</v>
      </c>
      <c r="K260">
        <v>3900</v>
      </c>
      <c r="L260">
        <v>16900</v>
      </c>
      <c r="M260">
        <v>3980</v>
      </c>
      <c r="N260">
        <v>650</v>
      </c>
      <c r="O260">
        <v>2817</v>
      </c>
      <c r="P260">
        <v>1815</v>
      </c>
      <c r="Q260" s="10">
        <f t="shared" si="4"/>
        <v>1815</v>
      </c>
      <c r="R260" t="s">
        <v>1328</v>
      </c>
    </row>
    <row r="261" spans="1:18" x14ac:dyDescent="0.25">
      <c r="A261" t="s">
        <v>317</v>
      </c>
      <c r="B261" t="s">
        <v>744</v>
      </c>
      <c r="C261" t="s">
        <v>1171</v>
      </c>
      <c r="D261" t="s">
        <v>1299</v>
      </c>
      <c r="E261">
        <v>2</v>
      </c>
      <c r="F261">
        <v>2508</v>
      </c>
      <c r="G261">
        <v>8140</v>
      </c>
      <c r="H261" s="1">
        <v>46189</v>
      </c>
      <c r="I261" s="1">
        <v>46161</v>
      </c>
      <c r="J261">
        <v>13000</v>
      </c>
      <c r="K261">
        <v>3900</v>
      </c>
      <c r="L261">
        <v>16900</v>
      </c>
      <c r="M261">
        <v>6499</v>
      </c>
      <c r="N261">
        <v>1641</v>
      </c>
      <c r="O261">
        <v>2817</v>
      </c>
      <c r="P261">
        <v>2508</v>
      </c>
      <c r="Q261" s="10">
        <f t="shared" si="4"/>
        <v>2508</v>
      </c>
      <c r="R261" t="s">
        <v>1328</v>
      </c>
    </row>
    <row r="262" spans="1:18" x14ac:dyDescent="0.25">
      <c r="A262" t="s">
        <v>318</v>
      </c>
      <c r="B262" t="s">
        <v>745</v>
      </c>
      <c r="C262" t="s">
        <v>1172</v>
      </c>
      <c r="D262" t="s">
        <v>1311</v>
      </c>
      <c r="E262">
        <v>2</v>
      </c>
      <c r="F262">
        <v>3150</v>
      </c>
      <c r="G262">
        <v>15750</v>
      </c>
      <c r="H262" s="1">
        <v>46189</v>
      </c>
      <c r="I262" s="1">
        <v>46161</v>
      </c>
      <c r="J262">
        <v>18000</v>
      </c>
      <c r="K262">
        <v>7200</v>
      </c>
      <c r="L262">
        <v>25200</v>
      </c>
      <c r="M262">
        <v>11250</v>
      </c>
      <c r="N262">
        <v>4500</v>
      </c>
      <c r="O262">
        <v>3150</v>
      </c>
      <c r="P262">
        <v>3150</v>
      </c>
      <c r="Q262" s="10">
        <f t="shared" si="4"/>
        <v>3150</v>
      </c>
      <c r="R262" t="s">
        <v>1328</v>
      </c>
    </row>
    <row r="263" spans="1:18" x14ac:dyDescent="0.25">
      <c r="A263" t="s">
        <v>319</v>
      </c>
      <c r="B263" t="s">
        <v>746</v>
      </c>
      <c r="C263" t="s">
        <v>1173</v>
      </c>
      <c r="D263" t="s">
        <v>1311</v>
      </c>
      <c r="E263">
        <v>1</v>
      </c>
      <c r="F263">
        <v>1622</v>
      </c>
      <c r="G263">
        <v>10290</v>
      </c>
      <c r="H263" s="1">
        <v>46190</v>
      </c>
      <c r="I263" s="1">
        <v>46162</v>
      </c>
      <c r="J263">
        <v>20000</v>
      </c>
      <c r="K263">
        <v>6000</v>
      </c>
      <c r="L263">
        <v>26000</v>
      </c>
      <c r="M263">
        <v>8290</v>
      </c>
      <c r="N263">
        <v>2000</v>
      </c>
      <c r="O263">
        <v>4333</v>
      </c>
      <c r="P263">
        <v>1622</v>
      </c>
      <c r="Q263" s="10">
        <f t="shared" si="4"/>
        <v>1622</v>
      </c>
      <c r="R263" t="s">
        <v>1328</v>
      </c>
    </row>
    <row r="264" spans="1:18" x14ac:dyDescent="0.25">
      <c r="A264" t="s">
        <v>320</v>
      </c>
      <c r="B264" t="s">
        <v>747</v>
      </c>
      <c r="C264" t="s">
        <v>1174</v>
      </c>
      <c r="D264" t="s">
        <v>1310</v>
      </c>
      <c r="E264">
        <v>3</v>
      </c>
      <c r="F264">
        <v>905</v>
      </c>
      <c r="G264">
        <v>24530</v>
      </c>
      <c r="H264" s="1">
        <v>46188</v>
      </c>
      <c r="I264" s="1">
        <v>46181</v>
      </c>
      <c r="J264">
        <v>21000</v>
      </c>
      <c r="K264">
        <v>7350</v>
      </c>
      <c r="L264">
        <v>28350</v>
      </c>
      <c r="M264">
        <v>18405</v>
      </c>
      <c r="N264">
        <v>6125</v>
      </c>
      <c r="O264">
        <v>4725</v>
      </c>
      <c r="P264">
        <v>905</v>
      </c>
      <c r="Q264" s="10">
        <f t="shared" si="4"/>
        <v>905</v>
      </c>
      <c r="R264" t="s">
        <v>1328</v>
      </c>
    </row>
    <row r="265" spans="1:18" x14ac:dyDescent="0.25">
      <c r="A265" t="s">
        <v>321</v>
      </c>
      <c r="B265" t="s">
        <v>748</v>
      </c>
      <c r="C265" t="s">
        <v>1175</v>
      </c>
      <c r="D265" t="s">
        <v>1299</v>
      </c>
      <c r="E265">
        <v>2</v>
      </c>
      <c r="F265">
        <v>700</v>
      </c>
      <c r="G265">
        <v>14200</v>
      </c>
      <c r="H265" s="1">
        <v>46189</v>
      </c>
      <c r="I265" s="1">
        <v>46182</v>
      </c>
      <c r="J265">
        <v>15000</v>
      </c>
      <c r="K265">
        <v>3000</v>
      </c>
      <c r="L265">
        <v>18000</v>
      </c>
      <c r="M265">
        <v>11950</v>
      </c>
      <c r="N265">
        <v>2250</v>
      </c>
      <c r="O265">
        <v>4500</v>
      </c>
      <c r="P265">
        <v>700</v>
      </c>
      <c r="Q265" s="10">
        <f t="shared" si="4"/>
        <v>700</v>
      </c>
      <c r="R265" t="s">
        <v>1328</v>
      </c>
    </row>
    <row r="266" spans="1:18" x14ac:dyDescent="0.25">
      <c r="A266" t="s">
        <v>322</v>
      </c>
      <c r="B266" t="s">
        <v>749</v>
      </c>
      <c r="C266" t="s">
        <v>1176</v>
      </c>
      <c r="D266" t="s">
        <v>1300</v>
      </c>
      <c r="E266">
        <v>1</v>
      </c>
      <c r="F266">
        <v>4</v>
      </c>
      <c r="G266">
        <v>8345</v>
      </c>
      <c r="H266" s="1">
        <v>46190</v>
      </c>
      <c r="I266" s="1">
        <v>46183</v>
      </c>
      <c r="J266">
        <v>7000</v>
      </c>
      <c r="K266">
        <v>3010</v>
      </c>
      <c r="L266">
        <v>10010</v>
      </c>
      <c r="M266">
        <v>5837</v>
      </c>
      <c r="N266">
        <v>2508</v>
      </c>
      <c r="O266">
        <v>1669</v>
      </c>
      <c r="P266">
        <v>4</v>
      </c>
      <c r="Q266" s="10">
        <f t="shared" si="4"/>
        <v>4</v>
      </c>
      <c r="R266" t="s">
        <v>1328</v>
      </c>
    </row>
    <row r="267" spans="1:18" x14ac:dyDescent="0.25">
      <c r="A267" t="s">
        <v>323</v>
      </c>
      <c r="B267" t="s">
        <v>750</v>
      </c>
      <c r="C267" t="s">
        <v>1177</v>
      </c>
      <c r="D267" t="s">
        <v>1300</v>
      </c>
      <c r="E267">
        <v>1</v>
      </c>
      <c r="F267">
        <v>43</v>
      </c>
      <c r="G267">
        <v>9210</v>
      </c>
      <c r="H267" s="1">
        <v>46190</v>
      </c>
      <c r="I267" s="1">
        <v>46183</v>
      </c>
      <c r="J267">
        <v>8000</v>
      </c>
      <c r="K267">
        <v>3000</v>
      </c>
      <c r="L267">
        <v>11000</v>
      </c>
      <c r="M267">
        <v>6710</v>
      </c>
      <c r="N267">
        <v>2500</v>
      </c>
      <c r="O267">
        <v>1833</v>
      </c>
      <c r="P267">
        <v>43</v>
      </c>
      <c r="Q267" s="10">
        <f t="shared" si="4"/>
        <v>43</v>
      </c>
      <c r="R267" t="s">
        <v>1328</v>
      </c>
    </row>
    <row r="268" spans="1:18" x14ac:dyDescent="0.25">
      <c r="A268" t="s">
        <v>324</v>
      </c>
      <c r="B268" t="s">
        <v>751</v>
      </c>
      <c r="C268" t="s">
        <v>1178</v>
      </c>
      <c r="D268" t="s">
        <v>1299</v>
      </c>
      <c r="E268">
        <v>17</v>
      </c>
      <c r="F268">
        <v>4480</v>
      </c>
      <c r="G268">
        <v>4480</v>
      </c>
      <c r="H268" s="1">
        <v>46174</v>
      </c>
      <c r="I268" s="1">
        <v>46139</v>
      </c>
      <c r="J268">
        <v>13000</v>
      </c>
      <c r="K268">
        <v>3900</v>
      </c>
      <c r="L268">
        <v>16900</v>
      </c>
      <c r="M268">
        <v>3830</v>
      </c>
      <c r="N268">
        <v>650</v>
      </c>
      <c r="O268">
        <v>2817</v>
      </c>
      <c r="P268">
        <v>4480</v>
      </c>
      <c r="Q268" s="10">
        <f t="shared" si="4"/>
        <v>4480</v>
      </c>
      <c r="R268" t="s">
        <v>1328</v>
      </c>
    </row>
    <row r="269" spans="1:18" x14ac:dyDescent="0.25">
      <c r="A269" t="s">
        <v>325</v>
      </c>
      <c r="B269" t="s">
        <v>752</v>
      </c>
      <c r="C269" t="s">
        <v>1179</v>
      </c>
      <c r="D269" t="s">
        <v>1300</v>
      </c>
      <c r="E269">
        <v>2</v>
      </c>
      <c r="F269">
        <v>1826</v>
      </c>
      <c r="G269">
        <v>9160</v>
      </c>
      <c r="H269" s="1">
        <v>46189</v>
      </c>
      <c r="I269" s="1">
        <v>46175</v>
      </c>
      <c r="J269">
        <v>8000</v>
      </c>
      <c r="K269">
        <v>3000</v>
      </c>
      <c r="L269">
        <v>11000</v>
      </c>
      <c r="M269">
        <v>6667</v>
      </c>
      <c r="N269">
        <v>2493</v>
      </c>
      <c r="O269">
        <v>1833</v>
      </c>
      <c r="P269">
        <v>1826</v>
      </c>
      <c r="Q269" s="10">
        <f t="shared" si="4"/>
        <v>1826</v>
      </c>
      <c r="R269" t="s">
        <v>1328</v>
      </c>
    </row>
    <row r="270" spans="1:18" x14ac:dyDescent="0.25">
      <c r="A270" t="s">
        <v>326</v>
      </c>
      <c r="B270" t="s">
        <v>753</v>
      </c>
      <c r="C270" t="s">
        <v>1180</v>
      </c>
      <c r="D270" t="s">
        <v>1311</v>
      </c>
      <c r="E270">
        <v>2</v>
      </c>
      <c r="F270">
        <v>1826</v>
      </c>
      <c r="G270">
        <v>19160</v>
      </c>
      <c r="H270" s="1">
        <v>46189</v>
      </c>
      <c r="I270" s="1">
        <v>46175</v>
      </c>
      <c r="J270">
        <v>20000</v>
      </c>
      <c r="K270">
        <v>6000</v>
      </c>
      <c r="L270">
        <v>26000</v>
      </c>
      <c r="M270">
        <v>15160</v>
      </c>
      <c r="N270">
        <v>4000</v>
      </c>
      <c r="O270">
        <v>4333</v>
      </c>
      <c r="P270">
        <v>1826</v>
      </c>
      <c r="Q270" s="10">
        <f t="shared" si="4"/>
        <v>1826</v>
      </c>
      <c r="R270" t="s">
        <v>1328</v>
      </c>
    </row>
    <row r="271" spans="1:18" x14ac:dyDescent="0.25">
      <c r="A271" t="s">
        <v>327</v>
      </c>
      <c r="B271" t="s">
        <v>754</v>
      </c>
      <c r="C271" t="s">
        <v>1181</v>
      </c>
      <c r="D271" t="s">
        <v>1299</v>
      </c>
      <c r="E271">
        <v>2</v>
      </c>
      <c r="F271">
        <v>1000</v>
      </c>
      <c r="G271">
        <v>14000</v>
      </c>
      <c r="H271" s="1">
        <v>46189</v>
      </c>
      <c r="I271" s="1">
        <v>46175</v>
      </c>
      <c r="J271">
        <v>15000</v>
      </c>
      <c r="K271">
        <v>4500</v>
      </c>
      <c r="L271">
        <v>19500</v>
      </c>
      <c r="M271">
        <v>11000</v>
      </c>
      <c r="N271">
        <v>3000</v>
      </c>
      <c r="O271">
        <v>3250</v>
      </c>
      <c r="P271">
        <v>1000</v>
      </c>
      <c r="Q271" s="10">
        <f t="shared" si="4"/>
        <v>1000</v>
      </c>
      <c r="R271" t="s">
        <v>1328</v>
      </c>
    </row>
    <row r="272" spans="1:18" x14ac:dyDescent="0.25">
      <c r="A272" t="s">
        <v>328</v>
      </c>
      <c r="B272" t="s">
        <v>755</v>
      </c>
      <c r="C272" t="s">
        <v>1182</v>
      </c>
      <c r="D272" t="s">
        <v>1300</v>
      </c>
      <c r="E272">
        <v>3</v>
      </c>
      <c r="F272">
        <v>2167</v>
      </c>
      <c r="G272">
        <v>13000</v>
      </c>
      <c r="H272" s="1">
        <v>46188</v>
      </c>
      <c r="I272" s="1">
        <v>46181</v>
      </c>
      <c r="J272">
        <v>10000</v>
      </c>
      <c r="K272">
        <v>3000</v>
      </c>
      <c r="L272">
        <v>13000</v>
      </c>
      <c r="M272">
        <v>10000</v>
      </c>
      <c r="N272">
        <v>3000</v>
      </c>
      <c r="O272">
        <v>2167</v>
      </c>
      <c r="P272">
        <v>2167</v>
      </c>
      <c r="Q272" s="10">
        <f t="shared" si="4"/>
        <v>2167</v>
      </c>
      <c r="R272" t="s">
        <v>1328</v>
      </c>
    </row>
    <row r="273" spans="1:18" x14ac:dyDescent="0.25">
      <c r="A273" t="s">
        <v>329</v>
      </c>
      <c r="B273" t="s">
        <v>756</v>
      </c>
      <c r="C273" t="s">
        <v>1183</v>
      </c>
      <c r="D273" t="s">
        <v>1300</v>
      </c>
      <c r="E273">
        <v>3</v>
      </c>
      <c r="F273">
        <v>1200</v>
      </c>
      <c r="G273">
        <v>10200</v>
      </c>
      <c r="H273" s="1">
        <v>46188</v>
      </c>
      <c r="I273" s="1">
        <v>46181</v>
      </c>
      <c r="J273">
        <v>10000</v>
      </c>
      <c r="K273">
        <v>2000</v>
      </c>
      <c r="L273">
        <v>12000</v>
      </c>
      <c r="M273">
        <v>8700</v>
      </c>
      <c r="N273">
        <v>1500</v>
      </c>
      <c r="O273">
        <v>3000</v>
      </c>
      <c r="P273">
        <v>1200</v>
      </c>
      <c r="Q273" s="10">
        <f t="shared" si="4"/>
        <v>1200</v>
      </c>
      <c r="R273" t="s">
        <v>1328</v>
      </c>
    </row>
    <row r="274" spans="1:18" x14ac:dyDescent="0.25">
      <c r="A274" t="s">
        <v>330</v>
      </c>
      <c r="B274" t="s">
        <v>757</v>
      </c>
      <c r="C274" t="s">
        <v>1184</v>
      </c>
      <c r="D274" t="s">
        <v>1300</v>
      </c>
      <c r="E274">
        <v>2</v>
      </c>
      <c r="F274">
        <v>1167</v>
      </c>
      <c r="G274">
        <v>12000</v>
      </c>
      <c r="H274" s="1">
        <v>46189</v>
      </c>
      <c r="I274" s="1">
        <v>46182</v>
      </c>
      <c r="J274">
        <v>10000</v>
      </c>
      <c r="K274">
        <v>3000</v>
      </c>
      <c r="L274">
        <v>13000</v>
      </c>
      <c r="M274">
        <v>9500</v>
      </c>
      <c r="N274">
        <v>2500</v>
      </c>
      <c r="O274">
        <v>2167</v>
      </c>
      <c r="P274">
        <v>1167</v>
      </c>
      <c r="Q274" s="10">
        <f t="shared" si="4"/>
        <v>1167</v>
      </c>
      <c r="R274" t="s">
        <v>1328</v>
      </c>
    </row>
    <row r="275" spans="1:18" x14ac:dyDescent="0.25">
      <c r="A275" t="s">
        <v>331</v>
      </c>
      <c r="B275" t="s">
        <v>758</v>
      </c>
      <c r="C275" t="s">
        <v>1185</v>
      </c>
      <c r="D275" t="s">
        <v>1299</v>
      </c>
      <c r="E275">
        <v>29</v>
      </c>
      <c r="F275">
        <v>7500</v>
      </c>
      <c r="G275">
        <v>7500</v>
      </c>
      <c r="H275" s="1">
        <v>46162</v>
      </c>
      <c r="I275" s="1">
        <v>46134</v>
      </c>
      <c r="J275">
        <v>12000</v>
      </c>
      <c r="K275">
        <v>3600</v>
      </c>
      <c r="L275">
        <v>15600</v>
      </c>
      <c r="M275">
        <v>6000</v>
      </c>
      <c r="N275">
        <v>1500</v>
      </c>
      <c r="O275">
        <v>2600</v>
      </c>
      <c r="P275">
        <v>7500</v>
      </c>
      <c r="Q275" s="10">
        <f t="shared" si="4"/>
        <v>7500</v>
      </c>
      <c r="R275" t="s">
        <v>1328</v>
      </c>
    </row>
    <row r="276" spans="1:18" x14ac:dyDescent="0.25">
      <c r="A276" t="s">
        <v>332</v>
      </c>
      <c r="B276" t="s">
        <v>759</v>
      </c>
      <c r="C276" t="s">
        <v>1186</v>
      </c>
      <c r="D276" t="s">
        <v>1300</v>
      </c>
      <c r="E276">
        <v>17</v>
      </c>
      <c r="F276">
        <v>4835</v>
      </c>
      <c r="G276">
        <v>7000</v>
      </c>
      <c r="H276" s="1">
        <v>46174</v>
      </c>
      <c r="I276" s="1">
        <v>46153</v>
      </c>
      <c r="J276">
        <v>10000</v>
      </c>
      <c r="K276">
        <v>3000</v>
      </c>
      <c r="L276">
        <v>13000</v>
      </c>
      <c r="M276">
        <v>5500</v>
      </c>
      <c r="N276">
        <v>1500</v>
      </c>
      <c r="O276">
        <v>2167</v>
      </c>
      <c r="P276">
        <v>4835</v>
      </c>
      <c r="Q276" s="10">
        <f t="shared" si="4"/>
        <v>4835</v>
      </c>
      <c r="R276" t="s">
        <v>1328</v>
      </c>
    </row>
    <row r="277" spans="1:18" x14ac:dyDescent="0.25">
      <c r="A277" t="s">
        <v>333</v>
      </c>
      <c r="B277" t="s">
        <v>760</v>
      </c>
      <c r="C277" t="s">
        <v>1187</v>
      </c>
      <c r="D277" t="s">
        <v>1311</v>
      </c>
      <c r="E277">
        <v>9</v>
      </c>
      <c r="F277">
        <v>6300</v>
      </c>
      <c r="G277">
        <v>18900</v>
      </c>
      <c r="H277" s="1">
        <v>46182</v>
      </c>
      <c r="I277" s="1">
        <v>46161</v>
      </c>
      <c r="J277">
        <v>18000</v>
      </c>
      <c r="K277">
        <v>7200</v>
      </c>
      <c r="L277">
        <v>25200</v>
      </c>
      <c r="M277">
        <v>13500</v>
      </c>
      <c r="N277">
        <v>5400</v>
      </c>
      <c r="O277">
        <v>3150</v>
      </c>
      <c r="P277">
        <v>6300</v>
      </c>
      <c r="Q277" s="10">
        <f t="shared" si="4"/>
        <v>6300</v>
      </c>
      <c r="R277" t="s">
        <v>1328</v>
      </c>
    </row>
    <row r="278" spans="1:18" x14ac:dyDescent="0.25">
      <c r="A278" t="s">
        <v>334</v>
      </c>
      <c r="B278" t="s">
        <v>761</v>
      </c>
      <c r="C278" t="s">
        <v>1188</v>
      </c>
      <c r="D278" t="s">
        <v>1316</v>
      </c>
      <c r="E278">
        <v>8</v>
      </c>
      <c r="F278">
        <v>10502</v>
      </c>
      <c r="G278">
        <v>32250</v>
      </c>
      <c r="H278" s="1">
        <v>46183</v>
      </c>
      <c r="I278" s="1">
        <v>46162</v>
      </c>
      <c r="J278">
        <v>30000</v>
      </c>
      <c r="K278">
        <v>13500</v>
      </c>
      <c r="L278">
        <v>43500</v>
      </c>
      <c r="M278">
        <v>22500</v>
      </c>
      <c r="N278">
        <v>9750</v>
      </c>
      <c r="O278">
        <v>5438</v>
      </c>
      <c r="P278">
        <v>10502</v>
      </c>
      <c r="Q278" s="10">
        <f t="shared" si="4"/>
        <v>10502</v>
      </c>
      <c r="R278" t="s">
        <v>1328</v>
      </c>
    </row>
    <row r="279" spans="1:18" x14ac:dyDescent="0.25">
      <c r="A279" t="s">
        <v>335</v>
      </c>
      <c r="B279" t="s">
        <v>762</v>
      </c>
      <c r="C279" t="s">
        <v>1189</v>
      </c>
      <c r="D279" t="s">
        <v>1311</v>
      </c>
      <c r="E279">
        <v>7</v>
      </c>
      <c r="F279">
        <v>12000</v>
      </c>
      <c r="G279">
        <v>12000</v>
      </c>
      <c r="H279" s="1">
        <v>46184</v>
      </c>
      <c r="I279" s="1">
        <v>46163</v>
      </c>
      <c r="J279">
        <v>20000</v>
      </c>
      <c r="K279">
        <v>4000</v>
      </c>
      <c r="L279">
        <v>24000</v>
      </c>
      <c r="M279">
        <v>10000</v>
      </c>
      <c r="N279">
        <v>2000</v>
      </c>
      <c r="O279">
        <v>6000</v>
      </c>
      <c r="P279">
        <v>12000</v>
      </c>
      <c r="Q279" s="10">
        <f t="shared" si="4"/>
        <v>12000</v>
      </c>
      <c r="R279" t="s">
        <v>1328</v>
      </c>
    </row>
    <row r="280" spans="1:18" x14ac:dyDescent="0.25">
      <c r="A280" t="s">
        <v>336</v>
      </c>
      <c r="B280" t="s">
        <v>763</v>
      </c>
      <c r="C280" t="s">
        <v>1190</v>
      </c>
      <c r="D280" t="s">
        <v>1300</v>
      </c>
      <c r="E280">
        <v>10</v>
      </c>
      <c r="F280">
        <v>6000</v>
      </c>
      <c r="G280">
        <v>9000</v>
      </c>
      <c r="H280" s="1">
        <v>46181</v>
      </c>
      <c r="I280" s="1">
        <v>46167</v>
      </c>
      <c r="J280">
        <v>10000</v>
      </c>
      <c r="K280">
        <v>2000</v>
      </c>
      <c r="L280">
        <v>12000</v>
      </c>
      <c r="M280">
        <v>7500</v>
      </c>
      <c r="N280">
        <v>1500</v>
      </c>
      <c r="O280">
        <v>3000</v>
      </c>
      <c r="P280">
        <v>6000</v>
      </c>
      <c r="Q280" s="10">
        <f t="shared" si="4"/>
        <v>6000</v>
      </c>
      <c r="R280" t="s">
        <v>1328</v>
      </c>
    </row>
    <row r="281" spans="1:18" x14ac:dyDescent="0.25">
      <c r="A281" t="s">
        <v>337</v>
      </c>
      <c r="B281" t="s">
        <v>764</v>
      </c>
      <c r="C281" t="s">
        <v>1191</v>
      </c>
      <c r="D281" t="s">
        <v>1299</v>
      </c>
      <c r="E281">
        <v>3</v>
      </c>
      <c r="F281">
        <v>2525</v>
      </c>
      <c r="G281">
        <v>15650</v>
      </c>
      <c r="H281" s="1">
        <v>46188</v>
      </c>
      <c r="I281" s="1">
        <v>46167</v>
      </c>
      <c r="J281">
        <v>15000</v>
      </c>
      <c r="K281">
        <v>6000</v>
      </c>
      <c r="L281">
        <v>21000</v>
      </c>
      <c r="M281">
        <v>11250</v>
      </c>
      <c r="N281">
        <v>4400</v>
      </c>
      <c r="O281">
        <v>2625</v>
      </c>
      <c r="P281">
        <v>2525</v>
      </c>
      <c r="Q281" s="10">
        <f t="shared" si="4"/>
        <v>2525</v>
      </c>
      <c r="R281" t="s">
        <v>1328</v>
      </c>
    </row>
    <row r="282" spans="1:18" x14ac:dyDescent="0.25">
      <c r="A282" t="s">
        <v>338</v>
      </c>
      <c r="B282" t="s">
        <v>765</v>
      </c>
      <c r="C282" t="s">
        <v>1192</v>
      </c>
      <c r="D282" t="s">
        <v>1299</v>
      </c>
      <c r="E282">
        <v>2</v>
      </c>
      <c r="F282">
        <v>2625</v>
      </c>
      <c r="G282">
        <v>21000</v>
      </c>
      <c r="H282" s="1">
        <v>46189</v>
      </c>
      <c r="I282" s="1">
        <v>46182</v>
      </c>
      <c r="J282">
        <v>15000</v>
      </c>
      <c r="K282">
        <v>6000</v>
      </c>
      <c r="L282">
        <v>21000</v>
      </c>
      <c r="M282">
        <v>15000</v>
      </c>
      <c r="N282">
        <v>6000</v>
      </c>
      <c r="O282">
        <v>2625</v>
      </c>
      <c r="P282">
        <v>2625</v>
      </c>
      <c r="Q282" s="10">
        <f t="shared" si="4"/>
        <v>2625</v>
      </c>
      <c r="R282" t="s">
        <v>1328</v>
      </c>
    </row>
    <row r="283" spans="1:18" x14ac:dyDescent="0.25">
      <c r="A283" t="s">
        <v>339</v>
      </c>
      <c r="B283" t="s">
        <v>766</v>
      </c>
      <c r="C283" t="s">
        <v>1193</v>
      </c>
      <c r="D283" t="s">
        <v>1312</v>
      </c>
      <c r="E283">
        <v>1</v>
      </c>
      <c r="F283">
        <v>5980</v>
      </c>
      <c r="G283">
        <v>23980</v>
      </c>
      <c r="H283" s="1">
        <v>46190</v>
      </c>
      <c r="I283" s="1">
        <v>46141</v>
      </c>
      <c r="J283">
        <v>40000</v>
      </c>
      <c r="K283">
        <v>20000</v>
      </c>
      <c r="L283">
        <v>60000</v>
      </c>
      <c r="M283">
        <v>16000</v>
      </c>
      <c r="N283">
        <v>7980</v>
      </c>
      <c r="O283">
        <v>6000</v>
      </c>
      <c r="P283">
        <v>5980</v>
      </c>
      <c r="Q283" s="10">
        <f t="shared" si="4"/>
        <v>5980</v>
      </c>
      <c r="R283" t="s">
        <v>1329</v>
      </c>
    </row>
    <row r="284" spans="1:18" x14ac:dyDescent="0.25">
      <c r="A284" t="s">
        <v>340</v>
      </c>
      <c r="B284" t="s">
        <v>767</v>
      </c>
      <c r="C284" t="s">
        <v>1194</v>
      </c>
      <c r="D284" t="s">
        <v>1300</v>
      </c>
      <c r="E284">
        <v>8</v>
      </c>
      <c r="F284">
        <v>1660</v>
      </c>
      <c r="G284">
        <v>1660</v>
      </c>
      <c r="H284" s="1">
        <v>46183</v>
      </c>
      <c r="I284" s="1">
        <v>46141</v>
      </c>
      <c r="J284">
        <v>7000</v>
      </c>
      <c r="K284">
        <v>3010</v>
      </c>
      <c r="L284">
        <v>10010</v>
      </c>
      <c r="M284">
        <v>1165</v>
      </c>
      <c r="N284">
        <v>495</v>
      </c>
      <c r="O284">
        <v>1669</v>
      </c>
      <c r="P284">
        <v>1660</v>
      </c>
      <c r="Q284" s="10">
        <f t="shared" si="4"/>
        <v>1660</v>
      </c>
      <c r="R284" t="s">
        <v>1329</v>
      </c>
    </row>
    <row r="285" spans="1:18" x14ac:dyDescent="0.25">
      <c r="A285" t="s">
        <v>341</v>
      </c>
      <c r="B285" t="s">
        <v>768</v>
      </c>
      <c r="C285" t="s">
        <v>1195</v>
      </c>
      <c r="D285" t="s">
        <v>1300</v>
      </c>
      <c r="E285">
        <v>7</v>
      </c>
      <c r="F285">
        <v>420</v>
      </c>
      <c r="G285">
        <v>420</v>
      </c>
      <c r="H285" s="1">
        <v>46184</v>
      </c>
      <c r="I285" s="1">
        <v>46142</v>
      </c>
      <c r="J285">
        <v>10000</v>
      </c>
      <c r="K285">
        <v>3000</v>
      </c>
      <c r="L285">
        <v>13000</v>
      </c>
      <c r="M285">
        <v>420</v>
      </c>
      <c r="N285">
        <v>0</v>
      </c>
      <c r="O285">
        <v>2167</v>
      </c>
      <c r="P285">
        <v>420</v>
      </c>
      <c r="Q285" s="10">
        <f t="shared" si="4"/>
        <v>420</v>
      </c>
      <c r="R285" t="s">
        <v>1329</v>
      </c>
    </row>
    <row r="286" spans="1:18" x14ac:dyDescent="0.25">
      <c r="A286" t="s">
        <v>342</v>
      </c>
      <c r="B286" t="s">
        <v>769</v>
      </c>
      <c r="C286" t="s">
        <v>1196</v>
      </c>
      <c r="D286" t="s">
        <v>1299</v>
      </c>
      <c r="E286">
        <v>1</v>
      </c>
      <c r="F286">
        <v>3250</v>
      </c>
      <c r="G286">
        <v>6500</v>
      </c>
      <c r="H286" s="1">
        <v>46190</v>
      </c>
      <c r="I286" s="1">
        <v>46155</v>
      </c>
      <c r="J286">
        <v>15000</v>
      </c>
      <c r="K286">
        <v>4500</v>
      </c>
      <c r="L286">
        <v>19500</v>
      </c>
      <c r="M286">
        <v>5000</v>
      </c>
      <c r="N286">
        <v>1500</v>
      </c>
      <c r="O286">
        <v>3250</v>
      </c>
      <c r="P286">
        <v>3250</v>
      </c>
      <c r="Q286" s="10">
        <f t="shared" si="4"/>
        <v>3250</v>
      </c>
      <c r="R286" t="s">
        <v>1329</v>
      </c>
    </row>
    <row r="287" spans="1:18" x14ac:dyDescent="0.25">
      <c r="A287" t="s">
        <v>343</v>
      </c>
      <c r="B287" t="s">
        <v>770</v>
      </c>
      <c r="C287" t="s">
        <v>1197</v>
      </c>
      <c r="D287" t="s">
        <v>1300</v>
      </c>
      <c r="E287">
        <v>2</v>
      </c>
      <c r="F287">
        <v>161</v>
      </c>
      <c r="G287">
        <v>6660</v>
      </c>
      <c r="H287" s="1">
        <v>46189</v>
      </c>
      <c r="I287" s="1">
        <v>46168</v>
      </c>
      <c r="J287">
        <v>10000</v>
      </c>
      <c r="K287">
        <v>3000</v>
      </c>
      <c r="L287">
        <v>13000</v>
      </c>
      <c r="M287">
        <v>5160</v>
      </c>
      <c r="N287">
        <v>1500</v>
      </c>
      <c r="O287">
        <v>2167</v>
      </c>
      <c r="P287">
        <v>161</v>
      </c>
      <c r="Q287" s="10">
        <f t="shared" si="4"/>
        <v>161</v>
      </c>
      <c r="R287" t="s">
        <v>1329</v>
      </c>
    </row>
    <row r="288" spans="1:18" x14ac:dyDescent="0.25">
      <c r="A288" t="s">
        <v>344</v>
      </c>
      <c r="B288" t="s">
        <v>771</v>
      </c>
      <c r="C288" t="s">
        <v>1198</v>
      </c>
      <c r="D288" t="s">
        <v>1300</v>
      </c>
      <c r="E288">
        <v>2</v>
      </c>
      <c r="F288">
        <v>2164</v>
      </c>
      <c r="G288">
        <v>10830</v>
      </c>
      <c r="H288" s="1">
        <v>46189</v>
      </c>
      <c r="I288" s="1">
        <v>46175</v>
      </c>
      <c r="J288">
        <v>10000</v>
      </c>
      <c r="K288">
        <v>3000</v>
      </c>
      <c r="L288">
        <v>13000</v>
      </c>
      <c r="M288">
        <v>8333</v>
      </c>
      <c r="N288">
        <v>2497</v>
      </c>
      <c r="O288">
        <v>2167</v>
      </c>
      <c r="P288">
        <v>2164</v>
      </c>
      <c r="Q288" s="10">
        <f t="shared" si="4"/>
        <v>2164</v>
      </c>
      <c r="R288" t="s">
        <v>1329</v>
      </c>
    </row>
    <row r="289" spans="1:18" x14ac:dyDescent="0.25">
      <c r="A289" t="s">
        <v>345</v>
      </c>
      <c r="B289" t="s">
        <v>772</v>
      </c>
      <c r="C289" t="s">
        <v>1199</v>
      </c>
      <c r="D289" t="s">
        <v>1301</v>
      </c>
      <c r="E289">
        <v>2</v>
      </c>
      <c r="F289">
        <v>500</v>
      </c>
      <c r="G289">
        <v>3500</v>
      </c>
      <c r="H289" s="1">
        <v>46189</v>
      </c>
      <c r="I289" s="1">
        <v>46175</v>
      </c>
      <c r="J289">
        <v>5000</v>
      </c>
      <c r="K289">
        <v>1000</v>
      </c>
      <c r="L289">
        <v>6000</v>
      </c>
      <c r="M289">
        <v>3000</v>
      </c>
      <c r="N289">
        <v>500</v>
      </c>
      <c r="O289">
        <v>1500</v>
      </c>
      <c r="P289">
        <v>500</v>
      </c>
      <c r="Q289" s="10">
        <f t="shared" si="4"/>
        <v>500</v>
      </c>
      <c r="R289" t="s">
        <v>1329</v>
      </c>
    </row>
    <row r="290" spans="1:18" x14ac:dyDescent="0.25">
      <c r="A290" t="s">
        <v>346</v>
      </c>
      <c r="B290" t="s">
        <v>773</v>
      </c>
      <c r="C290" t="s">
        <v>1200</v>
      </c>
      <c r="D290" t="s">
        <v>1300</v>
      </c>
      <c r="E290">
        <v>3</v>
      </c>
      <c r="F290">
        <v>179</v>
      </c>
      <c r="G290">
        <v>8520</v>
      </c>
      <c r="H290" s="1">
        <v>46188</v>
      </c>
      <c r="I290" s="1">
        <v>46181</v>
      </c>
      <c r="J290">
        <v>7000</v>
      </c>
      <c r="K290">
        <v>3010</v>
      </c>
      <c r="L290">
        <v>10010</v>
      </c>
      <c r="M290">
        <v>6012</v>
      </c>
      <c r="N290">
        <v>2508</v>
      </c>
      <c r="O290">
        <v>1669</v>
      </c>
      <c r="P290">
        <v>179</v>
      </c>
      <c r="Q290" s="10">
        <f t="shared" si="4"/>
        <v>179</v>
      </c>
      <c r="R290" t="s">
        <v>1329</v>
      </c>
    </row>
    <row r="291" spans="1:18" x14ac:dyDescent="0.25">
      <c r="A291" t="s">
        <v>347</v>
      </c>
      <c r="B291" t="s">
        <v>774</v>
      </c>
      <c r="C291" t="s">
        <v>1201</v>
      </c>
      <c r="D291" t="s">
        <v>1300</v>
      </c>
      <c r="E291">
        <v>1</v>
      </c>
      <c r="F291">
        <v>1833</v>
      </c>
      <c r="G291">
        <v>11000</v>
      </c>
      <c r="H291" s="1">
        <v>46190</v>
      </c>
      <c r="I291" s="1">
        <v>46183</v>
      </c>
      <c r="J291">
        <v>8000</v>
      </c>
      <c r="K291">
        <v>3000</v>
      </c>
      <c r="L291">
        <v>11000</v>
      </c>
      <c r="M291">
        <v>8000</v>
      </c>
      <c r="N291">
        <v>3000</v>
      </c>
      <c r="O291">
        <v>1833</v>
      </c>
      <c r="P291">
        <v>1833</v>
      </c>
      <c r="Q291" s="10">
        <f t="shared" si="4"/>
        <v>1833</v>
      </c>
      <c r="R291" t="s">
        <v>1329</v>
      </c>
    </row>
    <row r="292" spans="1:18" x14ac:dyDescent="0.25">
      <c r="A292" t="s">
        <v>348</v>
      </c>
      <c r="B292" t="s">
        <v>775</v>
      </c>
      <c r="C292" t="s">
        <v>1202</v>
      </c>
      <c r="D292" t="s">
        <v>1311</v>
      </c>
      <c r="E292">
        <v>2</v>
      </c>
      <c r="F292">
        <v>2900</v>
      </c>
      <c r="G292">
        <v>2900</v>
      </c>
      <c r="H292" s="1">
        <v>46189</v>
      </c>
      <c r="I292" s="1">
        <v>46133</v>
      </c>
      <c r="J292">
        <v>18000</v>
      </c>
      <c r="K292">
        <v>7200</v>
      </c>
      <c r="L292">
        <v>25200</v>
      </c>
      <c r="M292">
        <v>2250</v>
      </c>
      <c r="N292">
        <v>650</v>
      </c>
      <c r="O292">
        <v>3150</v>
      </c>
      <c r="P292">
        <v>2900</v>
      </c>
      <c r="Q292" s="10">
        <f t="shared" si="4"/>
        <v>2900</v>
      </c>
      <c r="R292" t="s">
        <v>1329</v>
      </c>
    </row>
    <row r="293" spans="1:18" x14ac:dyDescent="0.25">
      <c r="A293" t="s">
        <v>349</v>
      </c>
      <c r="B293" t="s">
        <v>776</v>
      </c>
      <c r="C293" t="s">
        <v>1203</v>
      </c>
      <c r="D293" t="s">
        <v>1300</v>
      </c>
      <c r="E293">
        <v>22</v>
      </c>
      <c r="F293">
        <v>2460</v>
      </c>
      <c r="G293">
        <v>2460</v>
      </c>
      <c r="H293" s="1">
        <v>46169</v>
      </c>
      <c r="I293" s="1">
        <v>46134</v>
      </c>
      <c r="J293">
        <v>10000</v>
      </c>
      <c r="K293">
        <v>3000</v>
      </c>
      <c r="L293">
        <v>13000</v>
      </c>
      <c r="M293">
        <v>1960</v>
      </c>
      <c r="N293">
        <v>500</v>
      </c>
      <c r="O293">
        <v>2167</v>
      </c>
      <c r="P293">
        <v>2460</v>
      </c>
      <c r="Q293" s="10">
        <f t="shared" si="4"/>
        <v>2460</v>
      </c>
      <c r="R293" t="s">
        <v>1329</v>
      </c>
    </row>
    <row r="294" spans="1:18" x14ac:dyDescent="0.25">
      <c r="A294" t="s">
        <v>350</v>
      </c>
      <c r="B294" t="s">
        <v>777</v>
      </c>
      <c r="C294" t="s">
        <v>1204</v>
      </c>
      <c r="D294" t="s">
        <v>1311</v>
      </c>
      <c r="E294">
        <v>9</v>
      </c>
      <c r="F294">
        <v>4000</v>
      </c>
      <c r="G294">
        <v>7500</v>
      </c>
      <c r="H294" s="1">
        <v>46182</v>
      </c>
      <c r="I294" s="1">
        <v>46140</v>
      </c>
      <c r="J294">
        <v>20000</v>
      </c>
      <c r="K294">
        <v>8000</v>
      </c>
      <c r="L294">
        <v>28000</v>
      </c>
      <c r="M294">
        <v>5500</v>
      </c>
      <c r="N294">
        <v>2000</v>
      </c>
      <c r="O294">
        <v>3500</v>
      </c>
      <c r="P294">
        <v>4000</v>
      </c>
      <c r="Q294" s="10">
        <f t="shared" si="4"/>
        <v>4000</v>
      </c>
      <c r="R294" t="s">
        <v>1329</v>
      </c>
    </row>
    <row r="295" spans="1:18" x14ac:dyDescent="0.25">
      <c r="A295" t="s">
        <v>351</v>
      </c>
      <c r="B295" t="s">
        <v>778</v>
      </c>
      <c r="C295" t="s">
        <v>1205</v>
      </c>
      <c r="D295" t="s">
        <v>1300</v>
      </c>
      <c r="E295">
        <v>14</v>
      </c>
      <c r="F295">
        <v>4945</v>
      </c>
      <c r="G295">
        <v>7110</v>
      </c>
      <c r="H295" s="1">
        <v>46177</v>
      </c>
      <c r="I295" s="1">
        <v>46156</v>
      </c>
      <c r="J295">
        <v>10000</v>
      </c>
      <c r="K295">
        <v>3000</v>
      </c>
      <c r="L295">
        <v>13000</v>
      </c>
      <c r="M295">
        <v>5610</v>
      </c>
      <c r="N295">
        <v>1500</v>
      </c>
      <c r="O295">
        <v>2167</v>
      </c>
      <c r="P295">
        <v>4945</v>
      </c>
      <c r="Q295" s="10">
        <f t="shared" si="4"/>
        <v>4945</v>
      </c>
      <c r="R295" t="s">
        <v>1329</v>
      </c>
    </row>
    <row r="296" spans="1:18" x14ac:dyDescent="0.25">
      <c r="A296" t="s">
        <v>352</v>
      </c>
      <c r="B296" t="s">
        <v>779</v>
      </c>
      <c r="C296" t="s">
        <v>1206</v>
      </c>
      <c r="D296" t="s">
        <v>1300</v>
      </c>
      <c r="E296">
        <v>2</v>
      </c>
      <c r="F296">
        <v>2158</v>
      </c>
      <c r="G296">
        <v>6490</v>
      </c>
      <c r="H296" s="1">
        <v>46189</v>
      </c>
      <c r="I296" s="1">
        <v>46161</v>
      </c>
      <c r="J296">
        <v>10000</v>
      </c>
      <c r="K296">
        <v>3000</v>
      </c>
      <c r="L296">
        <v>13000</v>
      </c>
      <c r="M296">
        <v>4999</v>
      </c>
      <c r="N296">
        <v>1491</v>
      </c>
      <c r="O296">
        <v>2167</v>
      </c>
      <c r="P296">
        <v>2158</v>
      </c>
      <c r="Q296" s="10">
        <f t="shared" si="4"/>
        <v>2158</v>
      </c>
      <c r="R296" t="s">
        <v>1329</v>
      </c>
    </row>
    <row r="297" spans="1:18" x14ac:dyDescent="0.25">
      <c r="A297" t="s">
        <v>353</v>
      </c>
      <c r="B297" t="s">
        <v>780</v>
      </c>
      <c r="C297" t="s">
        <v>1207</v>
      </c>
      <c r="D297" t="s">
        <v>1300</v>
      </c>
      <c r="E297">
        <v>3</v>
      </c>
      <c r="F297">
        <v>3000</v>
      </c>
      <c r="G297">
        <v>6000</v>
      </c>
      <c r="H297" s="1">
        <v>46188</v>
      </c>
      <c r="I297" s="1">
        <v>46167</v>
      </c>
      <c r="J297">
        <v>10000</v>
      </c>
      <c r="K297">
        <v>2000</v>
      </c>
      <c r="L297">
        <v>12000</v>
      </c>
      <c r="M297">
        <v>5000</v>
      </c>
      <c r="N297">
        <v>1000</v>
      </c>
      <c r="O297">
        <v>3000</v>
      </c>
      <c r="P297">
        <v>3000</v>
      </c>
      <c r="Q297" s="10">
        <f t="shared" si="4"/>
        <v>3000</v>
      </c>
      <c r="R297" t="s">
        <v>1329</v>
      </c>
    </row>
    <row r="298" spans="1:18" x14ac:dyDescent="0.25">
      <c r="A298" t="s">
        <v>354</v>
      </c>
      <c r="B298" t="s">
        <v>781</v>
      </c>
      <c r="C298" t="s">
        <v>1208</v>
      </c>
      <c r="D298" t="s">
        <v>1300</v>
      </c>
      <c r="E298">
        <v>3</v>
      </c>
      <c r="F298">
        <v>167</v>
      </c>
      <c r="G298">
        <v>5170</v>
      </c>
      <c r="H298" s="1">
        <v>46188</v>
      </c>
      <c r="I298" s="1">
        <v>46167</v>
      </c>
      <c r="J298">
        <v>7000</v>
      </c>
      <c r="K298">
        <v>3010</v>
      </c>
      <c r="L298">
        <v>10010</v>
      </c>
      <c r="M298">
        <v>3666</v>
      </c>
      <c r="N298">
        <v>1504</v>
      </c>
      <c r="O298">
        <v>1669</v>
      </c>
      <c r="P298">
        <v>167</v>
      </c>
      <c r="Q298" s="10">
        <f t="shared" si="4"/>
        <v>167</v>
      </c>
      <c r="R298" t="s">
        <v>1329</v>
      </c>
    </row>
    <row r="299" spans="1:18" x14ac:dyDescent="0.25">
      <c r="A299" t="s">
        <v>355</v>
      </c>
      <c r="B299" t="s">
        <v>782</v>
      </c>
      <c r="C299" t="s">
        <v>1209</v>
      </c>
      <c r="D299" t="s">
        <v>1300</v>
      </c>
      <c r="E299">
        <v>1</v>
      </c>
      <c r="F299">
        <v>1598</v>
      </c>
      <c r="G299">
        <v>8270</v>
      </c>
      <c r="H299" s="1">
        <v>46190</v>
      </c>
      <c r="I299" s="1">
        <v>46176</v>
      </c>
      <c r="J299">
        <v>7000</v>
      </c>
      <c r="K299">
        <v>3010</v>
      </c>
      <c r="L299">
        <v>10010</v>
      </c>
      <c r="M299">
        <v>5833</v>
      </c>
      <c r="N299">
        <v>2437</v>
      </c>
      <c r="O299">
        <v>1669</v>
      </c>
      <c r="P299">
        <v>1598</v>
      </c>
      <c r="Q299" s="10">
        <f t="shared" si="4"/>
        <v>1598</v>
      </c>
      <c r="R299" t="s">
        <v>1329</v>
      </c>
    </row>
    <row r="300" spans="1:18" x14ac:dyDescent="0.25">
      <c r="A300" t="s">
        <v>356</v>
      </c>
      <c r="B300" t="s">
        <v>783</v>
      </c>
      <c r="C300" t="s">
        <v>1210</v>
      </c>
      <c r="D300" t="s">
        <v>1300</v>
      </c>
      <c r="E300">
        <v>1</v>
      </c>
      <c r="F300">
        <v>1164</v>
      </c>
      <c r="G300">
        <v>9830</v>
      </c>
      <c r="H300" s="1">
        <v>46190</v>
      </c>
      <c r="I300" s="1">
        <v>46176</v>
      </c>
      <c r="J300">
        <v>10000</v>
      </c>
      <c r="K300">
        <v>3000</v>
      </c>
      <c r="L300">
        <v>13000</v>
      </c>
      <c r="M300">
        <v>7830</v>
      </c>
      <c r="N300">
        <v>2000</v>
      </c>
      <c r="O300">
        <v>2167</v>
      </c>
      <c r="P300">
        <v>1164</v>
      </c>
      <c r="Q300" s="10">
        <f t="shared" si="4"/>
        <v>1164</v>
      </c>
      <c r="R300" t="s">
        <v>1329</v>
      </c>
    </row>
    <row r="301" spans="1:18" x14ac:dyDescent="0.25">
      <c r="A301" t="s">
        <v>357</v>
      </c>
      <c r="B301" t="s">
        <v>784</v>
      </c>
      <c r="C301" t="s">
        <v>1211</v>
      </c>
      <c r="D301" t="s">
        <v>1300</v>
      </c>
      <c r="E301">
        <v>1</v>
      </c>
      <c r="F301">
        <v>1669</v>
      </c>
      <c r="G301">
        <v>10010</v>
      </c>
      <c r="H301" s="1">
        <v>46190</v>
      </c>
      <c r="I301" s="1">
        <v>46183</v>
      </c>
      <c r="J301">
        <v>7000</v>
      </c>
      <c r="K301">
        <v>3010</v>
      </c>
      <c r="L301">
        <v>10010</v>
      </c>
      <c r="M301">
        <v>7000</v>
      </c>
      <c r="N301">
        <v>3010</v>
      </c>
      <c r="O301">
        <v>1669</v>
      </c>
      <c r="P301">
        <v>1669</v>
      </c>
      <c r="Q301" s="10">
        <f t="shared" si="4"/>
        <v>1669</v>
      </c>
      <c r="R301" t="s">
        <v>1329</v>
      </c>
    </row>
    <row r="302" spans="1:18" x14ac:dyDescent="0.25">
      <c r="A302" t="s">
        <v>358</v>
      </c>
      <c r="B302" t="s">
        <v>785</v>
      </c>
      <c r="C302" t="s">
        <v>1212</v>
      </c>
      <c r="D302" t="s">
        <v>1299</v>
      </c>
      <c r="E302">
        <v>1</v>
      </c>
      <c r="F302">
        <v>2600</v>
      </c>
      <c r="G302">
        <v>15600</v>
      </c>
      <c r="H302" s="1">
        <v>46190</v>
      </c>
      <c r="I302" s="1">
        <v>46183</v>
      </c>
      <c r="J302">
        <v>12000</v>
      </c>
      <c r="K302">
        <v>3600</v>
      </c>
      <c r="L302">
        <v>15600</v>
      </c>
      <c r="M302">
        <v>12000</v>
      </c>
      <c r="N302">
        <v>3600</v>
      </c>
      <c r="O302">
        <v>2600</v>
      </c>
      <c r="P302">
        <v>2600</v>
      </c>
      <c r="Q302" s="10">
        <f t="shared" si="4"/>
        <v>2600</v>
      </c>
      <c r="R302" t="s">
        <v>1329</v>
      </c>
    </row>
    <row r="303" spans="1:18" x14ac:dyDescent="0.25">
      <c r="A303" t="s">
        <v>359</v>
      </c>
      <c r="B303" t="s">
        <v>786</v>
      </c>
      <c r="C303" t="s">
        <v>1213</v>
      </c>
      <c r="D303" t="s">
        <v>1299</v>
      </c>
      <c r="E303">
        <v>3</v>
      </c>
      <c r="F303">
        <v>100</v>
      </c>
      <c r="G303">
        <v>4300</v>
      </c>
      <c r="H303" s="1">
        <v>46188</v>
      </c>
      <c r="I303" s="1">
        <v>46146</v>
      </c>
      <c r="J303">
        <v>12000</v>
      </c>
      <c r="K303">
        <v>4800</v>
      </c>
      <c r="L303">
        <v>16800</v>
      </c>
      <c r="M303">
        <v>3100</v>
      </c>
      <c r="N303">
        <v>1200</v>
      </c>
      <c r="O303">
        <v>2100</v>
      </c>
      <c r="P303">
        <v>100</v>
      </c>
      <c r="Q303" s="10">
        <f t="shared" si="4"/>
        <v>100</v>
      </c>
      <c r="R303" t="s">
        <v>1329</v>
      </c>
    </row>
    <row r="304" spans="1:18" x14ac:dyDescent="0.25">
      <c r="A304" t="s">
        <v>360</v>
      </c>
      <c r="B304" t="s">
        <v>787</v>
      </c>
      <c r="C304" t="s">
        <v>1214</v>
      </c>
      <c r="D304" t="s">
        <v>1300</v>
      </c>
      <c r="E304">
        <v>15</v>
      </c>
      <c r="F304">
        <v>4420</v>
      </c>
      <c r="G304">
        <v>4420</v>
      </c>
      <c r="H304" s="1">
        <v>46176</v>
      </c>
      <c r="I304" s="1">
        <v>46148</v>
      </c>
      <c r="J304">
        <v>10000</v>
      </c>
      <c r="K304">
        <v>3000</v>
      </c>
      <c r="L304">
        <v>13000</v>
      </c>
      <c r="M304">
        <v>3420</v>
      </c>
      <c r="N304">
        <v>1000</v>
      </c>
      <c r="O304">
        <v>2167</v>
      </c>
      <c r="P304">
        <v>4420</v>
      </c>
      <c r="Q304" s="10">
        <f t="shared" si="4"/>
        <v>4420</v>
      </c>
      <c r="R304" t="s">
        <v>1329</v>
      </c>
    </row>
    <row r="305" spans="1:18" x14ac:dyDescent="0.25">
      <c r="A305" t="s">
        <v>361</v>
      </c>
      <c r="B305" t="s">
        <v>788</v>
      </c>
      <c r="C305" t="s">
        <v>1215</v>
      </c>
      <c r="D305" t="s">
        <v>1299</v>
      </c>
      <c r="E305">
        <v>1</v>
      </c>
      <c r="F305">
        <v>2600</v>
      </c>
      <c r="G305">
        <v>5200</v>
      </c>
      <c r="H305" s="1">
        <v>46190</v>
      </c>
      <c r="I305" s="1">
        <v>46155</v>
      </c>
      <c r="J305">
        <v>12000</v>
      </c>
      <c r="K305">
        <v>3600</v>
      </c>
      <c r="L305">
        <v>15600</v>
      </c>
      <c r="M305">
        <v>4000</v>
      </c>
      <c r="N305">
        <v>1200</v>
      </c>
      <c r="O305">
        <v>2600</v>
      </c>
      <c r="P305">
        <v>2600</v>
      </c>
      <c r="Q305" s="10">
        <f t="shared" si="4"/>
        <v>2600</v>
      </c>
      <c r="R305" t="s">
        <v>1329</v>
      </c>
    </row>
    <row r="306" spans="1:18" x14ac:dyDescent="0.25">
      <c r="A306" t="s">
        <v>362</v>
      </c>
      <c r="B306" t="s">
        <v>789</v>
      </c>
      <c r="C306" t="s">
        <v>1216</v>
      </c>
      <c r="D306" t="s">
        <v>1300</v>
      </c>
      <c r="E306">
        <v>6</v>
      </c>
      <c r="F306">
        <v>122</v>
      </c>
      <c r="G306">
        <v>3790</v>
      </c>
      <c r="H306" s="1">
        <v>46185</v>
      </c>
      <c r="I306" s="1">
        <v>46157</v>
      </c>
      <c r="J306">
        <v>8000</v>
      </c>
      <c r="K306">
        <v>3000</v>
      </c>
      <c r="L306">
        <v>11000</v>
      </c>
      <c r="M306">
        <v>2790</v>
      </c>
      <c r="N306">
        <v>1000</v>
      </c>
      <c r="O306">
        <v>1833</v>
      </c>
      <c r="P306">
        <v>122</v>
      </c>
      <c r="Q306" s="10">
        <f t="shared" si="4"/>
        <v>122</v>
      </c>
      <c r="R306" t="s">
        <v>1329</v>
      </c>
    </row>
    <row r="307" spans="1:18" x14ac:dyDescent="0.25">
      <c r="A307" t="s">
        <v>363</v>
      </c>
      <c r="B307" t="s">
        <v>790</v>
      </c>
      <c r="C307" t="s">
        <v>1217</v>
      </c>
      <c r="D307" t="s">
        <v>1300</v>
      </c>
      <c r="E307">
        <v>13</v>
      </c>
      <c r="F307">
        <v>2876</v>
      </c>
      <c r="G307">
        <v>6210</v>
      </c>
      <c r="H307" s="1">
        <v>46178</v>
      </c>
      <c r="I307" s="1">
        <v>46157</v>
      </c>
      <c r="J307">
        <v>7000</v>
      </c>
      <c r="K307">
        <v>3010</v>
      </c>
      <c r="L307">
        <v>10010</v>
      </c>
      <c r="M307">
        <v>4666</v>
      </c>
      <c r="N307">
        <v>1544</v>
      </c>
      <c r="O307">
        <v>1669</v>
      </c>
      <c r="P307">
        <v>2876</v>
      </c>
      <c r="Q307" s="10">
        <f t="shared" si="4"/>
        <v>2876</v>
      </c>
      <c r="R307" t="s">
        <v>1329</v>
      </c>
    </row>
    <row r="308" spans="1:18" x14ac:dyDescent="0.25">
      <c r="A308" t="s">
        <v>364</v>
      </c>
      <c r="B308" t="s">
        <v>791</v>
      </c>
      <c r="C308" t="s">
        <v>1218</v>
      </c>
      <c r="D308" t="s">
        <v>1300</v>
      </c>
      <c r="E308">
        <v>2</v>
      </c>
      <c r="F308">
        <v>2128</v>
      </c>
      <c r="G308">
        <v>6460</v>
      </c>
      <c r="H308" s="1">
        <v>46189</v>
      </c>
      <c r="I308" s="1">
        <v>46161</v>
      </c>
      <c r="J308">
        <v>10000</v>
      </c>
      <c r="K308">
        <v>3000</v>
      </c>
      <c r="L308">
        <v>13000</v>
      </c>
      <c r="M308">
        <v>4999</v>
      </c>
      <c r="N308">
        <v>1461</v>
      </c>
      <c r="O308">
        <v>2167</v>
      </c>
      <c r="P308">
        <v>2128</v>
      </c>
      <c r="Q308" s="10">
        <f t="shared" si="4"/>
        <v>2128</v>
      </c>
      <c r="R308" t="s">
        <v>1329</v>
      </c>
    </row>
    <row r="309" spans="1:18" x14ac:dyDescent="0.25">
      <c r="A309" t="s">
        <v>365</v>
      </c>
      <c r="B309" t="s">
        <v>792</v>
      </c>
      <c r="C309" t="s">
        <v>1219</v>
      </c>
      <c r="D309" t="s">
        <v>1299</v>
      </c>
      <c r="E309">
        <v>1</v>
      </c>
      <c r="F309">
        <v>3250</v>
      </c>
      <c r="G309">
        <v>9750</v>
      </c>
      <c r="H309" s="1">
        <v>46190</v>
      </c>
      <c r="I309" s="1">
        <v>46162</v>
      </c>
      <c r="J309">
        <v>15000</v>
      </c>
      <c r="K309">
        <v>4500</v>
      </c>
      <c r="L309">
        <v>19500</v>
      </c>
      <c r="M309">
        <v>7500</v>
      </c>
      <c r="N309">
        <v>2250</v>
      </c>
      <c r="O309">
        <v>3250</v>
      </c>
      <c r="P309">
        <v>3250</v>
      </c>
      <c r="Q309" s="10">
        <f t="shared" si="4"/>
        <v>3250</v>
      </c>
      <c r="R309" t="s">
        <v>1329</v>
      </c>
    </row>
    <row r="310" spans="1:18" x14ac:dyDescent="0.25">
      <c r="A310" t="s">
        <v>366</v>
      </c>
      <c r="B310" t="s">
        <v>793</v>
      </c>
      <c r="C310" t="s">
        <v>1220</v>
      </c>
      <c r="D310" t="s">
        <v>1301</v>
      </c>
      <c r="E310">
        <v>6</v>
      </c>
      <c r="F310">
        <v>570</v>
      </c>
      <c r="G310">
        <v>2970</v>
      </c>
      <c r="H310" s="1">
        <v>46185</v>
      </c>
      <c r="I310" s="1">
        <v>46171</v>
      </c>
      <c r="J310">
        <v>4000</v>
      </c>
      <c r="K310">
        <v>800</v>
      </c>
      <c r="L310">
        <v>4800</v>
      </c>
      <c r="M310">
        <v>2570</v>
      </c>
      <c r="N310">
        <v>400</v>
      </c>
      <c r="O310">
        <v>1200</v>
      </c>
      <c r="P310">
        <v>570</v>
      </c>
      <c r="Q310" s="10">
        <f t="shared" si="4"/>
        <v>570</v>
      </c>
      <c r="R310" t="s">
        <v>1329</v>
      </c>
    </row>
    <row r="311" spans="1:18" x14ac:dyDescent="0.25">
      <c r="A311" t="s">
        <v>367</v>
      </c>
      <c r="B311" t="s">
        <v>794</v>
      </c>
      <c r="C311" t="s">
        <v>1221</v>
      </c>
      <c r="D311" t="s">
        <v>1300</v>
      </c>
      <c r="E311">
        <v>2</v>
      </c>
      <c r="F311">
        <v>894</v>
      </c>
      <c r="G311">
        <v>9560</v>
      </c>
      <c r="H311" s="1">
        <v>46189</v>
      </c>
      <c r="I311" s="1">
        <v>46175</v>
      </c>
      <c r="J311">
        <v>10000</v>
      </c>
      <c r="K311">
        <v>3000</v>
      </c>
      <c r="L311">
        <v>13000</v>
      </c>
      <c r="M311">
        <v>7560</v>
      </c>
      <c r="N311">
        <v>2000</v>
      </c>
      <c r="O311">
        <v>2167</v>
      </c>
      <c r="P311">
        <v>894</v>
      </c>
      <c r="Q311" s="10">
        <f t="shared" si="4"/>
        <v>894</v>
      </c>
      <c r="R311" t="s">
        <v>1329</v>
      </c>
    </row>
    <row r="312" spans="1:18" x14ac:dyDescent="0.25">
      <c r="A312" t="s">
        <v>368</v>
      </c>
      <c r="B312" t="s">
        <v>795</v>
      </c>
      <c r="C312" t="s">
        <v>1222</v>
      </c>
      <c r="D312" t="s">
        <v>1300</v>
      </c>
      <c r="E312">
        <v>3</v>
      </c>
      <c r="F312">
        <v>667</v>
      </c>
      <c r="G312">
        <v>11500</v>
      </c>
      <c r="H312" s="1">
        <v>46188</v>
      </c>
      <c r="I312" s="1">
        <v>46181</v>
      </c>
      <c r="J312">
        <v>10000</v>
      </c>
      <c r="K312">
        <v>3000</v>
      </c>
      <c r="L312">
        <v>13000</v>
      </c>
      <c r="M312">
        <v>9000</v>
      </c>
      <c r="N312">
        <v>2500</v>
      </c>
      <c r="O312">
        <v>2167</v>
      </c>
      <c r="P312">
        <v>667</v>
      </c>
      <c r="Q312" s="10">
        <f t="shared" si="4"/>
        <v>667</v>
      </c>
      <c r="R312" t="s">
        <v>1329</v>
      </c>
    </row>
    <row r="313" spans="1:18" x14ac:dyDescent="0.25">
      <c r="A313" t="s">
        <v>369</v>
      </c>
      <c r="B313" t="s">
        <v>796</v>
      </c>
      <c r="C313" t="s">
        <v>1223</v>
      </c>
      <c r="D313" t="s">
        <v>1300</v>
      </c>
      <c r="E313">
        <v>3</v>
      </c>
      <c r="F313">
        <v>2167</v>
      </c>
      <c r="G313">
        <v>13000</v>
      </c>
      <c r="H313" s="1">
        <v>46188</v>
      </c>
      <c r="I313" s="1">
        <v>46181</v>
      </c>
      <c r="J313">
        <v>10000</v>
      </c>
      <c r="K313">
        <v>3000</v>
      </c>
      <c r="L313">
        <v>13000</v>
      </c>
      <c r="M313">
        <v>10000</v>
      </c>
      <c r="N313">
        <v>3000</v>
      </c>
      <c r="O313">
        <v>2167</v>
      </c>
      <c r="P313">
        <v>2167</v>
      </c>
      <c r="Q313" s="10">
        <f t="shared" si="4"/>
        <v>2167</v>
      </c>
      <c r="R313" t="s">
        <v>1329</v>
      </c>
    </row>
    <row r="314" spans="1:18" x14ac:dyDescent="0.25">
      <c r="A314" t="s">
        <v>370</v>
      </c>
      <c r="B314" t="s">
        <v>797</v>
      </c>
      <c r="C314" t="s">
        <v>1224</v>
      </c>
      <c r="D314" t="s">
        <v>1301</v>
      </c>
      <c r="E314">
        <v>2</v>
      </c>
      <c r="F314">
        <v>500</v>
      </c>
      <c r="G314">
        <v>5000</v>
      </c>
      <c r="H314" s="1">
        <v>46189</v>
      </c>
      <c r="I314" s="1">
        <v>46182</v>
      </c>
      <c r="J314">
        <v>5000</v>
      </c>
      <c r="K314">
        <v>1000</v>
      </c>
      <c r="L314">
        <v>6000</v>
      </c>
      <c r="M314">
        <v>4250</v>
      </c>
      <c r="N314">
        <v>750</v>
      </c>
      <c r="O314">
        <v>1500</v>
      </c>
      <c r="P314">
        <v>500</v>
      </c>
      <c r="Q314" s="10">
        <f t="shared" si="4"/>
        <v>500</v>
      </c>
      <c r="R314" t="s">
        <v>1329</v>
      </c>
    </row>
    <row r="315" spans="1:18" x14ac:dyDescent="0.25">
      <c r="A315" t="s">
        <v>371</v>
      </c>
      <c r="B315" t="s">
        <v>798</v>
      </c>
      <c r="C315" t="s">
        <v>1225</v>
      </c>
      <c r="D315" t="s">
        <v>1303</v>
      </c>
      <c r="E315">
        <v>2</v>
      </c>
      <c r="F315">
        <v>8216</v>
      </c>
      <c r="G315">
        <v>18480</v>
      </c>
      <c r="H315" s="1">
        <v>46189</v>
      </c>
      <c r="I315" s="1">
        <v>45946</v>
      </c>
      <c r="J315">
        <v>60000</v>
      </c>
      <c r="K315">
        <v>32400</v>
      </c>
      <c r="L315">
        <v>92400</v>
      </c>
      <c r="M315">
        <v>13331</v>
      </c>
      <c r="N315">
        <v>5149</v>
      </c>
      <c r="O315">
        <v>10267</v>
      </c>
      <c r="P315">
        <v>8216</v>
      </c>
      <c r="Q315" s="10">
        <f t="shared" si="4"/>
        <v>8216</v>
      </c>
      <c r="R315" t="s">
        <v>1330</v>
      </c>
    </row>
    <row r="316" spans="1:18" x14ac:dyDescent="0.25">
      <c r="A316" t="s">
        <v>372</v>
      </c>
      <c r="B316" t="s">
        <v>799</v>
      </c>
      <c r="C316" t="s">
        <v>1226</v>
      </c>
      <c r="D316" t="s">
        <v>1303</v>
      </c>
      <c r="E316">
        <v>3</v>
      </c>
      <c r="F316">
        <v>6665</v>
      </c>
      <c r="G316">
        <v>29330</v>
      </c>
      <c r="H316" s="1">
        <v>46188</v>
      </c>
      <c r="I316" s="1">
        <v>46037</v>
      </c>
      <c r="J316">
        <v>100000</v>
      </c>
      <c r="K316">
        <v>36000</v>
      </c>
      <c r="L316">
        <v>136000</v>
      </c>
      <c r="M316">
        <v>23330</v>
      </c>
      <c r="N316">
        <v>6000</v>
      </c>
      <c r="O316">
        <v>22667</v>
      </c>
      <c r="P316">
        <v>6665</v>
      </c>
      <c r="Q316" s="10">
        <f t="shared" si="4"/>
        <v>6665</v>
      </c>
      <c r="R316" t="s">
        <v>1330</v>
      </c>
    </row>
    <row r="317" spans="1:18" x14ac:dyDescent="0.25">
      <c r="A317" t="s">
        <v>373</v>
      </c>
      <c r="B317" t="s">
        <v>800</v>
      </c>
      <c r="C317" t="s">
        <v>1227</v>
      </c>
      <c r="D317" t="s">
        <v>1300</v>
      </c>
      <c r="E317">
        <v>3</v>
      </c>
      <c r="F317">
        <v>1765</v>
      </c>
      <c r="G317">
        <v>3930</v>
      </c>
      <c r="H317" s="1">
        <v>46188</v>
      </c>
      <c r="I317" s="1">
        <v>46153</v>
      </c>
      <c r="J317">
        <v>10000</v>
      </c>
      <c r="K317">
        <v>3000</v>
      </c>
      <c r="L317">
        <v>13000</v>
      </c>
      <c r="M317">
        <v>3332</v>
      </c>
      <c r="N317">
        <v>598</v>
      </c>
      <c r="O317">
        <v>2167</v>
      </c>
      <c r="P317">
        <v>1765</v>
      </c>
      <c r="Q317" s="10">
        <f t="shared" si="4"/>
        <v>1765</v>
      </c>
      <c r="R317" t="s">
        <v>1330</v>
      </c>
    </row>
    <row r="318" spans="1:18" x14ac:dyDescent="0.25">
      <c r="A318" t="s">
        <v>374</v>
      </c>
      <c r="B318" t="s">
        <v>801</v>
      </c>
      <c r="C318" t="s">
        <v>1228</v>
      </c>
      <c r="D318" t="s">
        <v>1300</v>
      </c>
      <c r="E318">
        <v>2</v>
      </c>
      <c r="F318">
        <v>995</v>
      </c>
      <c r="G318">
        <v>3160</v>
      </c>
      <c r="H318" s="1">
        <v>46189</v>
      </c>
      <c r="I318" s="1">
        <v>46154</v>
      </c>
      <c r="J318">
        <v>10000</v>
      </c>
      <c r="K318">
        <v>3000</v>
      </c>
      <c r="L318">
        <v>13000</v>
      </c>
      <c r="M318">
        <v>2660</v>
      </c>
      <c r="N318">
        <v>500</v>
      </c>
      <c r="O318">
        <v>2167</v>
      </c>
      <c r="P318">
        <v>995</v>
      </c>
      <c r="Q318" s="10">
        <f t="shared" si="4"/>
        <v>995</v>
      </c>
      <c r="R318" t="s">
        <v>1330</v>
      </c>
    </row>
    <row r="319" spans="1:18" x14ac:dyDescent="0.25">
      <c r="A319" t="s">
        <v>375</v>
      </c>
      <c r="B319" t="s">
        <v>802</v>
      </c>
      <c r="C319" t="s">
        <v>1229</v>
      </c>
      <c r="D319" t="s">
        <v>1300</v>
      </c>
      <c r="E319">
        <v>3</v>
      </c>
      <c r="F319">
        <v>2161</v>
      </c>
      <c r="G319">
        <v>8660</v>
      </c>
      <c r="H319" s="1">
        <v>46188</v>
      </c>
      <c r="I319" s="1">
        <v>46167</v>
      </c>
      <c r="J319">
        <v>10000</v>
      </c>
      <c r="K319">
        <v>3000</v>
      </c>
      <c r="L319">
        <v>13000</v>
      </c>
      <c r="M319">
        <v>6666</v>
      </c>
      <c r="N319">
        <v>1994</v>
      </c>
      <c r="O319">
        <v>2167</v>
      </c>
      <c r="P319">
        <v>2161</v>
      </c>
      <c r="Q319" s="10">
        <f t="shared" si="4"/>
        <v>2161</v>
      </c>
      <c r="R319" t="s">
        <v>1330</v>
      </c>
    </row>
    <row r="320" spans="1:18" x14ac:dyDescent="0.25">
      <c r="A320" t="s">
        <v>376</v>
      </c>
      <c r="B320" t="s">
        <v>803</v>
      </c>
      <c r="C320" t="s">
        <v>1230</v>
      </c>
      <c r="D320" t="s">
        <v>1299</v>
      </c>
      <c r="E320">
        <v>3</v>
      </c>
      <c r="F320">
        <v>2150</v>
      </c>
      <c r="G320">
        <v>11900</v>
      </c>
      <c r="H320" s="1">
        <v>46188</v>
      </c>
      <c r="I320" s="1">
        <v>46167</v>
      </c>
      <c r="J320">
        <v>15000</v>
      </c>
      <c r="K320">
        <v>4500</v>
      </c>
      <c r="L320">
        <v>19500</v>
      </c>
      <c r="M320">
        <v>9650</v>
      </c>
      <c r="N320">
        <v>2250</v>
      </c>
      <c r="O320">
        <v>3250</v>
      </c>
      <c r="P320">
        <v>2150</v>
      </c>
      <c r="Q320" s="10">
        <f t="shared" si="4"/>
        <v>2150</v>
      </c>
      <c r="R320" t="s">
        <v>1330</v>
      </c>
    </row>
    <row r="321" spans="1:18" x14ac:dyDescent="0.25">
      <c r="A321" t="s">
        <v>377</v>
      </c>
      <c r="B321" t="s">
        <v>804</v>
      </c>
      <c r="C321" t="s">
        <v>1231</v>
      </c>
      <c r="D321" t="s">
        <v>1300</v>
      </c>
      <c r="E321">
        <v>3</v>
      </c>
      <c r="F321">
        <v>2161</v>
      </c>
      <c r="G321">
        <v>8660</v>
      </c>
      <c r="H321" s="1">
        <v>46188</v>
      </c>
      <c r="I321" s="1">
        <v>46167</v>
      </c>
      <c r="J321">
        <v>10000</v>
      </c>
      <c r="K321">
        <v>3000</v>
      </c>
      <c r="L321">
        <v>13000</v>
      </c>
      <c r="M321">
        <v>6666</v>
      </c>
      <c r="N321">
        <v>1994</v>
      </c>
      <c r="O321">
        <v>2167</v>
      </c>
      <c r="P321">
        <v>2161</v>
      </c>
      <c r="Q321" s="10">
        <f t="shared" si="4"/>
        <v>2161</v>
      </c>
      <c r="R321" t="s">
        <v>1330</v>
      </c>
    </row>
    <row r="322" spans="1:18" x14ac:dyDescent="0.25">
      <c r="A322" t="s">
        <v>378</v>
      </c>
      <c r="B322" t="s">
        <v>805</v>
      </c>
      <c r="C322" t="s">
        <v>1232</v>
      </c>
      <c r="D322" t="s">
        <v>1299</v>
      </c>
      <c r="E322">
        <v>2</v>
      </c>
      <c r="F322">
        <v>814</v>
      </c>
      <c r="G322">
        <v>12080</v>
      </c>
      <c r="H322" s="1">
        <v>46189</v>
      </c>
      <c r="I322" s="1">
        <v>46175</v>
      </c>
      <c r="J322">
        <v>13000</v>
      </c>
      <c r="K322">
        <v>3900</v>
      </c>
      <c r="L322">
        <v>16900</v>
      </c>
      <c r="M322">
        <v>9480</v>
      </c>
      <c r="N322">
        <v>2600</v>
      </c>
      <c r="O322">
        <v>2817</v>
      </c>
      <c r="P322">
        <v>814</v>
      </c>
      <c r="Q322" s="10">
        <f t="shared" si="4"/>
        <v>814</v>
      </c>
      <c r="R322" t="s">
        <v>1330</v>
      </c>
    </row>
    <row r="323" spans="1:18" x14ac:dyDescent="0.25">
      <c r="A323" t="s">
        <v>379</v>
      </c>
      <c r="B323" t="s">
        <v>806</v>
      </c>
      <c r="C323" t="s">
        <v>1233</v>
      </c>
      <c r="D323" t="s">
        <v>1300</v>
      </c>
      <c r="E323">
        <v>1</v>
      </c>
      <c r="F323">
        <v>3000</v>
      </c>
      <c r="G323">
        <v>9000</v>
      </c>
      <c r="H323" s="1">
        <v>46190</v>
      </c>
      <c r="I323" s="1">
        <v>46176</v>
      </c>
      <c r="J323">
        <v>10000</v>
      </c>
      <c r="K323">
        <v>2000</v>
      </c>
      <c r="L323">
        <v>12000</v>
      </c>
      <c r="M323">
        <v>7500</v>
      </c>
      <c r="N323">
        <v>1500</v>
      </c>
      <c r="O323">
        <v>3000</v>
      </c>
      <c r="P323">
        <v>3000</v>
      </c>
      <c r="Q323" s="10">
        <f t="shared" ref="Q323:Q386" si="5">P323</f>
        <v>3000</v>
      </c>
      <c r="R323" t="s">
        <v>1330</v>
      </c>
    </row>
    <row r="324" spans="1:18" x14ac:dyDescent="0.25">
      <c r="A324" t="s">
        <v>380</v>
      </c>
      <c r="B324" t="s">
        <v>807</v>
      </c>
      <c r="C324" t="s">
        <v>1234</v>
      </c>
      <c r="D324" t="s">
        <v>1300</v>
      </c>
      <c r="E324">
        <v>1</v>
      </c>
      <c r="F324">
        <v>200</v>
      </c>
      <c r="G324">
        <v>6200</v>
      </c>
      <c r="H324" s="1">
        <v>46190</v>
      </c>
      <c r="I324" s="1">
        <v>46176</v>
      </c>
      <c r="J324">
        <v>6000</v>
      </c>
      <c r="K324">
        <v>3000</v>
      </c>
      <c r="L324">
        <v>9000</v>
      </c>
      <c r="M324">
        <v>4200</v>
      </c>
      <c r="N324">
        <v>2000</v>
      </c>
      <c r="O324">
        <v>1500</v>
      </c>
      <c r="P324">
        <v>200</v>
      </c>
      <c r="Q324" s="10">
        <f t="shared" si="5"/>
        <v>200</v>
      </c>
      <c r="R324" t="s">
        <v>1330</v>
      </c>
    </row>
    <row r="325" spans="1:18" x14ac:dyDescent="0.25">
      <c r="A325" t="s">
        <v>381</v>
      </c>
      <c r="B325" t="s">
        <v>808</v>
      </c>
      <c r="C325" t="s">
        <v>1235</v>
      </c>
      <c r="D325" t="s">
        <v>1300</v>
      </c>
      <c r="E325">
        <v>1</v>
      </c>
      <c r="F325">
        <v>1300</v>
      </c>
      <c r="G325">
        <v>7300</v>
      </c>
      <c r="H325" s="1">
        <v>46190</v>
      </c>
      <c r="I325" s="1">
        <v>46176</v>
      </c>
      <c r="J325">
        <v>6000</v>
      </c>
      <c r="K325">
        <v>3000</v>
      </c>
      <c r="L325">
        <v>9000</v>
      </c>
      <c r="M325">
        <v>5000</v>
      </c>
      <c r="N325">
        <v>2300</v>
      </c>
      <c r="O325">
        <v>1500</v>
      </c>
      <c r="P325">
        <v>1300</v>
      </c>
      <c r="Q325" s="10">
        <f t="shared" si="5"/>
        <v>1300</v>
      </c>
      <c r="R325" t="s">
        <v>1330</v>
      </c>
    </row>
    <row r="326" spans="1:18" x14ac:dyDescent="0.25">
      <c r="A326" t="s">
        <v>382</v>
      </c>
      <c r="B326" t="s">
        <v>809</v>
      </c>
      <c r="C326" t="s">
        <v>1236</v>
      </c>
      <c r="D326" t="s">
        <v>1300</v>
      </c>
      <c r="E326">
        <v>2</v>
      </c>
      <c r="F326">
        <v>2167</v>
      </c>
      <c r="G326">
        <v>13000</v>
      </c>
      <c r="H326" s="1">
        <v>46189</v>
      </c>
      <c r="I326" s="1">
        <v>46182</v>
      </c>
      <c r="J326">
        <v>10000</v>
      </c>
      <c r="K326">
        <v>3000</v>
      </c>
      <c r="L326">
        <v>13000</v>
      </c>
      <c r="M326">
        <v>10000</v>
      </c>
      <c r="N326">
        <v>3000</v>
      </c>
      <c r="O326">
        <v>2167</v>
      </c>
      <c r="P326">
        <v>2167</v>
      </c>
      <c r="Q326" s="10">
        <f t="shared" si="5"/>
        <v>2167</v>
      </c>
      <c r="R326" t="s">
        <v>1330</v>
      </c>
    </row>
    <row r="327" spans="1:18" x14ac:dyDescent="0.25">
      <c r="A327" t="s">
        <v>383</v>
      </c>
      <c r="B327" t="s">
        <v>810</v>
      </c>
      <c r="C327" t="s">
        <v>1237</v>
      </c>
      <c r="D327" t="s">
        <v>1299</v>
      </c>
      <c r="E327">
        <v>2</v>
      </c>
      <c r="F327">
        <v>1600</v>
      </c>
      <c r="G327">
        <v>14600</v>
      </c>
      <c r="H327" s="1">
        <v>46189</v>
      </c>
      <c r="I327" s="1">
        <v>46182</v>
      </c>
      <c r="J327">
        <v>12000</v>
      </c>
      <c r="K327">
        <v>3600</v>
      </c>
      <c r="L327">
        <v>15600</v>
      </c>
      <c r="M327">
        <v>11600</v>
      </c>
      <c r="N327">
        <v>3000</v>
      </c>
      <c r="O327">
        <v>2600</v>
      </c>
      <c r="P327">
        <v>1600</v>
      </c>
      <c r="Q327" s="10">
        <f t="shared" si="5"/>
        <v>1600</v>
      </c>
      <c r="R327" t="s">
        <v>1330</v>
      </c>
    </row>
    <row r="328" spans="1:18" x14ac:dyDescent="0.25">
      <c r="A328" t="s">
        <v>384</v>
      </c>
      <c r="B328" t="s">
        <v>811</v>
      </c>
      <c r="C328" t="s">
        <v>1238</v>
      </c>
      <c r="D328" t="s">
        <v>1300</v>
      </c>
      <c r="E328">
        <v>1</v>
      </c>
      <c r="F328">
        <v>500</v>
      </c>
      <c r="G328">
        <v>8000</v>
      </c>
      <c r="H328" s="1">
        <v>46190</v>
      </c>
      <c r="I328" s="1">
        <v>46183</v>
      </c>
      <c r="J328">
        <v>6000</v>
      </c>
      <c r="K328">
        <v>3000</v>
      </c>
      <c r="L328">
        <v>9000</v>
      </c>
      <c r="M328">
        <v>5500</v>
      </c>
      <c r="N328">
        <v>2500</v>
      </c>
      <c r="O328">
        <v>1500</v>
      </c>
      <c r="P328">
        <v>500</v>
      </c>
      <c r="Q328" s="10">
        <f t="shared" si="5"/>
        <v>500</v>
      </c>
      <c r="R328" t="s">
        <v>1330</v>
      </c>
    </row>
    <row r="329" spans="1:18" x14ac:dyDescent="0.25">
      <c r="A329" t="s">
        <v>385</v>
      </c>
      <c r="B329" t="s">
        <v>812</v>
      </c>
      <c r="C329" t="s">
        <v>1239</v>
      </c>
      <c r="D329" t="s">
        <v>1299</v>
      </c>
      <c r="E329">
        <v>22</v>
      </c>
      <c r="F329">
        <v>7130</v>
      </c>
      <c r="G329">
        <v>7130</v>
      </c>
      <c r="H329" s="1">
        <v>46169</v>
      </c>
      <c r="I329" s="1">
        <v>46127</v>
      </c>
      <c r="J329">
        <v>15000</v>
      </c>
      <c r="K329">
        <v>6000</v>
      </c>
      <c r="L329">
        <v>21000</v>
      </c>
      <c r="M329">
        <v>5625</v>
      </c>
      <c r="N329">
        <v>1505</v>
      </c>
      <c r="O329">
        <v>2625</v>
      </c>
      <c r="P329">
        <v>7130</v>
      </c>
      <c r="Q329" s="10">
        <f t="shared" si="5"/>
        <v>7130</v>
      </c>
      <c r="R329" t="s">
        <v>1330</v>
      </c>
    </row>
    <row r="330" spans="1:18" x14ac:dyDescent="0.25">
      <c r="A330" t="s">
        <v>386</v>
      </c>
      <c r="B330" s="3" t="s">
        <v>813</v>
      </c>
      <c r="C330" s="3" t="s">
        <v>1240</v>
      </c>
      <c r="D330" s="3" t="s">
        <v>1300</v>
      </c>
      <c r="E330" s="3">
        <v>3</v>
      </c>
      <c r="F330" s="3">
        <v>1200</v>
      </c>
      <c r="G330" s="3">
        <v>2700</v>
      </c>
      <c r="H330" s="4">
        <v>46188</v>
      </c>
      <c r="I330" s="4">
        <v>46153</v>
      </c>
      <c r="J330" s="3">
        <v>6000</v>
      </c>
      <c r="K330" s="3">
        <v>3000</v>
      </c>
      <c r="L330" s="3">
        <v>9000</v>
      </c>
      <c r="M330" s="3">
        <v>2000</v>
      </c>
      <c r="N330" s="3">
        <v>700</v>
      </c>
      <c r="O330" s="3">
        <v>1500</v>
      </c>
      <c r="P330" s="3">
        <v>1200</v>
      </c>
      <c r="Q330" s="10">
        <f t="shared" si="5"/>
        <v>1200</v>
      </c>
      <c r="R330" s="3" t="s">
        <v>1330</v>
      </c>
    </row>
    <row r="331" spans="1:18" x14ac:dyDescent="0.25">
      <c r="A331" t="s">
        <v>387</v>
      </c>
      <c r="B331" s="3" t="s">
        <v>814</v>
      </c>
      <c r="C331" s="3" t="s">
        <v>1241</v>
      </c>
      <c r="D331" s="3" t="s">
        <v>1300</v>
      </c>
      <c r="E331" s="3">
        <v>1</v>
      </c>
      <c r="F331" s="3">
        <v>1765</v>
      </c>
      <c r="G331" s="3">
        <v>3600</v>
      </c>
      <c r="H331" s="4">
        <v>46190</v>
      </c>
      <c r="I331" s="4">
        <v>46155</v>
      </c>
      <c r="J331" s="3">
        <v>8000</v>
      </c>
      <c r="K331" s="3">
        <v>3000</v>
      </c>
      <c r="L331" s="3">
        <v>11000</v>
      </c>
      <c r="M331" s="3">
        <v>2668</v>
      </c>
      <c r="N331" s="3">
        <v>932</v>
      </c>
      <c r="O331" s="3">
        <v>1833</v>
      </c>
      <c r="P331" s="3">
        <v>1765</v>
      </c>
      <c r="Q331" s="10">
        <f t="shared" si="5"/>
        <v>1765</v>
      </c>
      <c r="R331" s="3" t="s">
        <v>1330</v>
      </c>
    </row>
    <row r="332" spans="1:18" x14ac:dyDescent="0.25">
      <c r="A332" t="s">
        <v>388</v>
      </c>
      <c r="B332" s="3" t="s">
        <v>815</v>
      </c>
      <c r="C332" s="3" t="s">
        <v>1242</v>
      </c>
      <c r="D332" s="3" t="s">
        <v>1300</v>
      </c>
      <c r="E332" s="3">
        <v>3</v>
      </c>
      <c r="F332" s="3">
        <v>1500</v>
      </c>
      <c r="G332" s="3">
        <v>4500</v>
      </c>
      <c r="H332" s="4">
        <v>46188</v>
      </c>
      <c r="I332" s="4">
        <v>46160</v>
      </c>
      <c r="J332" s="3">
        <v>6000</v>
      </c>
      <c r="K332" s="3">
        <v>3000</v>
      </c>
      <c r="L332" s="3">
        <v>9000</v>
      </c>
      <c r="M332" s="3">
        <v>3000</v>
      </c>
      <c r="N332" s="3">
        <v>1500</v>
      </c>
      <c r="O332" s="3">
        <v>1500</v>
      </c>
      <c r="P332" s="3">
        <v>1500</v>
      </c>
      <c r="Q332" s="10">
        <f t="shared" si="5"/>
        <v>1500</v>
      </c>
      <c r="R332" s="3" t="s">
        <v>1330</v>
      </c>
    </row>
    <row r="333" spans="1:18" x14ac:dyDescent="0.25">
      <c r="A333" t="s">
        <v>389</v>
      </c>
      <c r="B333" s="3" t="s">
        <v>816</v>
      </c>
      <c r="C333" s="3" t="s">
        <v>1243</v>
      </c>
      <c r="D333" s="3" t="s">
        <v>1300</v>
      </c>
      <c r="E333" s="3">
        <v>2</v>
      </c>
      <c r="F333" s="3">
        <v>388</v>
      </c>
      <c r="G333" s="3">
        <v>4720</v>
      </c>
      <c r="H333" s="4">
        <v>46189</v>
      </c>
      <c r="I333" s="4">
        <v>46161</v>
      </c>
      <c r="J333" s="3">
        <v>10000</v>
      </c>
      <c r="K333" s="3">
        <v>3000</v>
      </c>
      <c r="L333" s="3">
        <v>13000</v>
      </c>
      <c r="M333" s="3">
        <v>3720</v>
      </c>
      <c r="N333" s="3">
        <v>1000</v>
      </c>
      <c r="O333" s="3">
        <v>2167</v>
      </c>
      <c r="P333" s="3">
        <v>388</v>
      </c>
      <c r="Q333" s="10">
        <f t="shared" si="5"/>
        <v>388</v>
      </c>
      <c r="R333" s="3" t="s">
        <v>1330</v>
      </c>
    </row>
    <row r="334" spans="1:18" x14ac:dyDescent="0.25">
      <c r="A334" t="s">
        <v>390</v>
      </c>
      <c r="B334" s="3" t="s">
        <v>817</v>
      </c>
      <c r="C334" s="3" t="s">
        <v>1244</v>
      </c>
      <c r="D334" s="3" t="s">
        <v>1300</v>
      </c>
      <c r="E334" s="3">
        <v>9</v>
      </c>
      <c r="F334" s="3">
        <v>2628</v>
      </c>
      <c r="G334" s="3">
        <v>6960</v>
      </c>
      <c r="H334" s="4">
        <v>46182</v>
      </c>
      <c r="I334" s="4">
        <v>46161</v>
      </c>
      <c r="J334" s="3">
        <v>10000</v>
      </c>
      <c r="K334" s="3">
        <v>3000</v>
      </c>
      <c r="L334" s="3">
        <v>13000</v>
      </c>
      <c r="M334" s="3">
        <v>5460</v>
      </c>
      <c r="N334" s="3">
        <v>1500</v>
      </c>
      <c r="O334" s="3">
        <v>2167</v>
      </c>
      <c r="P334" s="3">
        <v>2628</v>
      </c>
      <c r="Q334" s="10">
        <f t="shared" si="5"/>
        <v>2628</v>
      </c>
      <c r="R334" s="3" t="s">
        <v>1330</v>
      </c>
    </row>
    <row r="335" spans="1:18" x14ac:dyDescent="0.25">
      <c r="A335" t="s">
        <v>391</v>
      </c>
      <c r="B335" s="3" t="s">
        <v>818</v>
      </c>
      <c r="C335" s="3" t="s">
        <v>1245</v>
      </c>
      <c r="D335" s="3" t="s">
        <v>1300</v>
      </c>
      <c r="E335" s="3">
        <v>3</v>
      </c>
      <c r="F335" s="3">
        <v>991</v>
      </c>
      <c r="G335" s="3">
        <v>7490</v>
      </c>
      <c r="H335" s="4">
        <v>46188</v>
      </c>
      <c r="I335" s="4">
        <v>46167</v>
      </c>
      <c r="J335" s="3">
        <v>10000</v>
      </c>
      <c r="K335" s="3">
        <v>3000</v>
      </c>
      <c r="L335" s="3">
        <v>13000</v>
      </c>
      <c r="M335" s="3">
        <v>5990</v>
      </c>
      <c r="N335" s="3">
        <v>1500</v>
      </c>
      <c r="O335" s="3">
        <v>2167</v>
      </c>
      <c r="P335" s="3">
        <v>991</v>
      </c>
      <c r="Q335" s="10">
        <f t="shared" si="5"/>
        <v>991</v>
      </c>
      <c r="R335" s="3" t="s">
        <v>1330</v>
      </c>
    </row>
    <row r="336" spans="1:18" x14ac:dyDescent="0.25">
      <c r="A336" t="s">
        <v>392</v>
      </c>
      <c r="B336" s="3" t="s">
        <v>819</v>
      </c>
      <c r="C336" s="3" t="s">
        <v>1246</v>
      </c>
      <c r="D336" s="3" t="s">
        <v>1300</v>
      </c>
      <c r="E336" s="3">
        <v>2</v>
      </c>
      <c r="F336" s="3">
        <v>851</v>
      </c>
      <c r="G336" s="3">
        <v>7350</v>
      </c>
      <c r="H336" s="4">
        <v>46189</v>
      </c>
      <c r="I336" s="4">
        <v>46168</v>
      </c>
      <c r="J336" s="3">
        <v>10000</v>
      </c>
      <c r="K336" s="3">
        <v>3000</v>
      </c>
      <c r="L336" s="3">
        <v>13000</v>
      </c>
      <c r="M336" s="3">
        <v>5850</v>
      </c>
      <c r="N336" s="3">
        <v>1500</v>
      </c>
      <c r="O336" s="3">
        <v>2167</v>
      </c>
      <c r="P336" s="3">
        <v>851</v>
      </c>
      <c r="Q336" s="10">
        <f t="shared" si="5"/>
        <v>851</v>
      </c>
      <c r="R336" s="3" t="s">
        <v>1330</v>
      </c>
    </row>
    <row r="337" spans="1:18" x14ac:dyDescent="0.25">
      <c r="A337" t="s">
        <v>393</v>
      </c>
      <c r="B337" s="3" t="s">
        <v>820</v>
      </c>
      <c r="C337" s="3" t="s">
        <v>1247</v>
      </c>
      <c r="D337" s="3" t="s">
        <v>1300</v>
      </c>
      <c r="E337" s="3">
        <v>1</v>
      </c>
      <c r="F337" s="3">
        <v>1500</v>
      </c>
      <c r="G337" s="3">
        <v>10500</v>
      </c>
      <c r="H337" s="4">
        <v>46190</v>
      </c>
      <c r="I337" s="4">
        <v>46183</v>
      </c>
      <c r="J337" s="3">
        <v>10000</v>
      </c>
      <c r="K337" s="3">
        <v>2000</v>
      </c>
      <c r="L337" s="3">
        <v>12000</v>
      </c>
      <c r="M337" s="3">
        <v>9000</v>
      </c>
      <c r="N337" s="3">
        <v>1500</v>
      </c>
      <c r="O337" s="3">
        <v>3000</v>
      </c>
      <c r="P337" s="3">
        <v>1500</v>
      </c>
      <c r="Q337" s="10">
        <f t="shared" si="5"/>
        <v>1500</v>
      </c>
      <c r="R337" s="3" t="s">
        <v>1330</v>
      </c>
    </row>
    <row r="338" spans="1:18" x14ac:dyDescent="0.25">
      <c r="A338" t="s">
        <v>394</v>
      </c>
      <c r="B338" s="3" t="s">
        <v>821</v>
      </c>
      <c r="C338" s="3" t="s">
        <v>1248</v>
      </c>
      <c r="D338" s="3" t="s">
        <v>1300</v>
      </c>
      <c r="E338" s="3">
        <v>29</v>
      </c>
      <c r="F338" s="3">
        <v>3860</v>
      </c>
      <c r="G338" s="3">
        <v>3860</v>
      </c>
      <c r="H338" s="4">
        <v>46162</v>
      </c>
      <c r="I338" s="4">
        <v>46134</v>
      </c>
      <c r="J338" s="3">
        <v>6000</v>
      </c>
      <c r="K338" s="3">
        <v>3000</v>
      </c>
      <c r="L338" s="3">
        <v>9000</v>
      </c>
      <c r="M338" s="3">
        <v>2860</v>
      </c>
      <c r="N338" s="3">
        <v>1000</v>
      </c>
      <c r="O338" s="3">
        <v>1500</v>
      </c>
      <c r="P338" s="3">
        <v>3860</v>
      </c>
      <c r="Q338" s="10">
        <f t="shared" si="5"/>
        <v>3860</v>
      </c>
      <c r="R338" s="3" t="s">
        <v>1330</v>
      </c>
    </row>
    <row r="339" spans="1:18" x14ac:dyDescent="0.25">
      <c r="A339" t="s">
        <v>395</v>
      </c>
      <c r="B339" s="3" t="s">
        <v>822</v>
      </c>
      <c r="C339" s="3" t="s">
        <v>1249</v>
      </c>
      <c r="D339" s="3" t="s">
        <v>1300</v>
      </c>
      <c r="E339" s="3">
        <v>2</v>
      </c>
      <c r="F339" s="3">
        <v>10</v>
      </c>
      <c r="G339" s="3">
        <v>10</v>
      </c>
      <c r="H339" s="4">
        <v>46189</v>
      </c>
      <c r="I339" s="4">
        <v>46147</v>
      </c>
      <c r="J339" s="3">
        <v>10000</v>
      </c>
      <c r="K339" s="3">
        <v>3000</v>
      </c>
      <c r="L339" s="3">
        <v>13000</v>
      </c>
      <c r="M339" s="3">
        <v>10</v>
      </c>
      <c r="N339" s="3">
        <v>0</v>
      </c>
      <c r="O339" s="3">
        <v>2167</v>
      </c>
      <c r="P339" s="3">
        <v>10</v>
      </c>
      <c r="Q339" s="10">
        <f t="shared" si="5"/>
        <v>10</v>
      </c>
      <c r="R339" s="3" t="s">
        <v>1330</v>
      </c>
    </row>
    <row r="340" spans="1:18" x14ac:dyDescent="0.25">
      <c r="A340" t="s">
        <v>396</v>
      </c>
      <c r="B340" s="3" t="s">
        <v>823</v>
      </c>
      <c r="C340" s="3" t="s">
        <v>1250</v>
      </c>
      <c r="D340" s="3" t="s">
        <v>1300</v>
      </c>
      <c r="E340" s="3">
        <v>28</v>
      </c>
      <c r="F340" s="3">
        <v>9930</v>
      </c>
      <c r="G340" s="3">
        <v>9930</v>
      </c>
      <c r="H340" s="4">
        <v>46163</v>
      </c>
      <c r="I340" s="4">
        <v>46149</v>
      </c>
      <c r="J340" s="3">
        <v>10000</v>
      </c>
      <c r="K340" s="3">
        <v>3000</v>
      </c>
      <c r="L340" s="3">
        <v>13000</v>
      </c>
      <c r="M340" s="3">
        <v>7930</v>
      </c>
      <c r="N340" s="3">
        <v>2000</v>
      </c>
      <c r="O340" s="3">
        <v>2167</v>
      </c>
      <c r="P340" s="3">
        <v>9930</v>
      </c>
      <c r="Q340" s="10">
        <f t="shared" si="5"/>
        <v>9930</v>
      </c>
      <c r="R340" s="3" t="s">
        <v>1330</v>
      </c>
    </row>
    <row r="341" spans="1:18" x14ac:dyDescent="0.25">
      <c r="A341" t="s">
        <v>397</v>
      </c>
      <c r="B341" s="3" t="s">
        <v>824</v>
      </c>
      <c r="C341" s="3" t="s">
        <v>1251</v>
      </c>
      <c r="D341" s="3" t="s">
        <v>1300</v>
      </c>
      <c r="E341" s="3">
        <v>14</v>
      </c>
      <c r="F341" s="3">
        <v>3550</v>
      </c>
      <c r="G341" s="3">
        <v>5050</v>
      </c>
      <c r="H341" s="4">
        <v>46177</v>
      </c>
      <c r="I341" s="4">
        <v>46156</v>
      </c>
      <c r="J341" s="3">
        <v>6000</v>
      </c>
      <c r="K341" s="3">
        <v>3000</v>
      </c>
      <c r="L341" s="3">
        <v>9000</v>
      </c>
      <c r="M341" s="3">
        <v>3550</v>
      </c>
      <c r="N341" s="3">
        <v>1500</v>
      </c>
      <c r="O341" s="3">
        <v>1500</v>
      </c>
      <c r="P341" s="3">
        <v>3550</v>
      </c>
      <c r="Q341" s="10">
        <f t="shared" si="5"/>
        <v>3550</v>
      </c>
      <c r="R341" s="3" t="s">
        <v>1330</v>
      </c>
    </row>
    <row r="342" spans="1:18" x14ac:dyDescent="0.25">
      <c r="A342" t="s">
        <v>398</v>
      </c>
      <c r="B342" s="3" t="s">
        <v>825</v>
      </c>
      <c r="C342" s="3" t="s">
        <v>1252</v>
      </c>
      <c r="D342" s="3" t="s">
        <v>1300</v>
      </c>
      <c r="E342" s="3">
        <v>2</v>
      </c>
      <c r="F342" s="3">
        <v>3000</v>
      </c>
      <c r="G342" s="3">
        <v>3000</v>
      </c>
      <c r="H342" s="4">
        <v>46189</v>
      </c>
      <c r="I342" s="4">
        <v>46161</v>
      </c>
      <c r="J342" s="3">
        <v>10000</v>
      </c>
      <c r="K342" s="3">
        <v>2000</v>
      </c>
      <c r="L342" s="3">
        <v>12000</v>
      </c>
      <c r="M342" s="3">
        <v>2500</v>
      </c>
      <c r="N342" s="3">
        <v>500</v>
      </c>
      <c r="O342" s="3">
        <v>3000</v>
      </c>
      <c r="P342" s="3">
        <v>3000</v>
      </c>
      <c r="Q342" s="10">
        <f t="shared" si="5"/>
        <v>3000</v>
      </c>
      <c r="R342" s="3" t="s">
        <v>1330</v>
      </c>
    </row>
    <row r="343" spans="1:18" x14ac:dyDescent="0.25">
      <c r="A343" t="s">
        <v>399</v>
      </c>
      <c r="B343" s="3" t="s">
        <v>826</v>
      </c>
      <c r="C343" s="3" t="s">
        <v>1253</v>
      </c>
      <c r="D343" s="3" t="s">
        <v>1299</v>
      </c>
      <c r="E343" s="3">
        <v>1</v>
      </c>
      <c r="F343" s="3">
        <v>3250</v>
      </c>
      <c r="G343" s="3">
        <v>9750</v>
      </c>
      <c r="H343" s="4">
        <v>46190</v>
      </c>
      <c r="I343" s="4">
        <v>46162</v>
      </c>
      <c r="J343" s="3">
        <v>15000</v>
      </c>
      <c r="K343" s="3">
        <v>4500</v>
      </c>
      <c r="L343" s="3">
        <v>19500</v>
      </c>
      <c r="M343" s="3">
        <v>7500</v>
      </c>
      <c r="N343" s="3">
        <v>2250</v>
      </c>
      <c r="O343" s="3">
        <v>3250</v>
      </c>
      <c r="P343" s="3">
        <v>3250</v>
      </c>
      <c r="Q343" s="10">
        <f t="shared" si="5"/>
        <v>3250</v>
      </c>
      <c r="R343" s="3" t="s">
        <v>1330</v>
      </c>
    </row>
    <row r="344" spans="1:18" x14ac:dyDescent="0.25">
      <c r="A344" t="s">
        <v>400</v>
      </c>
      <c r="B344" s="3" t="s">
        <v>827</v>
      </c>
      <c r="C344" s="3" t="s">
        <v>1254</v>
      </c>
      <c r="D344" s="3" t="s">
        <v>1311</v>
      </c>
      <c r="E344" s="3">
        <v>7</v>
      </c>
      <c r="F344" s="3">
        <v>5900</v>
      </c>
      <c r="G344" s="3">
        <v>19900</v>
      </c>
      <c r="H344" s="4">
        <v>46184</v>
      </c>
      <c r="I344" s="4">
        <v>46163</v>
      </c>
      <c r="J344" s="3">
        <v>20000</v>
      </c>
      <c r="K344" s="3">
        <v>8000</v>
      </c>
      <c r="L344" s="3">
        <v>28000</v>
      </c>
      <c r="M344" s="3">
        <v>14900</v>
      </c>
      <c r="N344" s="3">
        <v>5000</v>
      </c>
      <c r="O344" s="3">
        <v>3500</v>
      </c>
      <c r="P344" s="3">
        <v>5900</v>
      </c>
      <c r="Q344" s="10">
        <f t="shared" si="5"/>
        <v>5900</v>
      </c>
      <c r="R344" s="3" t="s">
        <v>1330</v>
      </c>
    </row>
    <row r="345" spans="1:18" x14ac:dyDescent="0.25">
      <c r="A345" t="s">
        <v>401</v>
      </c>
      <c r="B345" s="3" t="s">
        <v>828</v>
      </c>
      <c r="C345" s="3" t="s">
        <v>1255</v>
      </c>
      <c r="D345" s="3" t="s">
        <v>1299</v>
      </c>
      <c r="E345" s="3">
        <v>2</v>
      </c>
      <c r="F345" s="3">
        <v>1811</v>
      </c>
      <c r="G345" s="3">
        <v>10260</v>
      </c>
      <c r="H345" s="4">
        <v>46189</v>
      </c>
      <c r="I345" s="4">
        <v>46168</v>
      </c>
      <c r="J345" s="3">
        <v>13000</v>
      </c>
      <c r="K345" s="3">
        <v>3900</v>
      </c>
      <c r="L345" s="3">
        <v>16900</v>
      </c>
      <c r="M345" s="3">
        <v>8310</v>
      </c>
      <c r="N345" s="3">
        <v>1950</v>
      </c>
      <c r="O345" s="3">
        <v>2817</v>
      </c>
      <c r="P345" s="3">
        <v>1811</v>
      </c>
      <c r="Q345" s="10">
        <f t="shared" si="5"/>
        <v>1811</v>
      </c>
      <c r="R345" s="3" t="s">
        <v>1330</v>
      </c>
    </row>
    <row r="346" spans="1:18" x14ac:dyDescent="0.25">
      <c r="A346" t="s">
        <v>402</v>
      </c>
      <c r="B346" s="3" t="s">
        <v>829</v>
      </c>
      <c r="C346" s="3" t="s">
        <v>1256</v>
      </c>
      <c r="D346" s="3" t="s">
        <v>1299</v>
      </c>
      <c r="E346" s="3">
        <v>1</v>
      </c>
      <c r="F346" s="3">
        <v>2634</v>
      </c>
      <c r="G346" s="3">
        <v>13900</v>
      </c>
      <c r="H346" s="4">
        <v>46190</v>
      </c>
      <c r="I346" s="4">
        <v>46176</v>
      </c>
      <c r="J346" s="3">
        <v>13000</v>
      </c>
      <c r="K346" s="3">
        <v>3900</v>
      </c>
      <c r="L346" s="3">
        <v>16900</v>
      </c>
      <c r="M346" s="3">
        <v>10833</v>
      </c>
      <c r="N346" s="3">
        <v>3067</v>
      </c>
      <c r="O346" s="3">
        <v>2817</v>
      </c>
      <c r="P346" s="3">
        <v>2634</v>
      </c>
      <c r="Q346" s="10">
        <f t="shared" si="5"/>
        <v>2634</v>
      </c>
      <c r="R346" s="3" t="s">
        <v>1330</v>
      </c>
    </row>
    <row r="347" spans="1:18" x14ac:dyDescent="0.25">
      <c r="A347" t="s">
        <v>403</v>
      </c>
      <c r="B347" s="3" t="s">
        <v>830</v>
      </c>
      <c r="C347" s="3" t="s">
        <v>1257</v>
      </c>
      <c r="D347" s="3" t="s">
        <v>1300</v>
      </c>
      <c r="E347" s="3">
        <v>3</v>
      </c>
      <c r="F347" s="3">
        <v>1167</v>
      </c>
      <c r="G347" s="3">
        <v>12000</v>
      </c>
      <c r="H347" s="4">
        <v>46188</v>
      </c>
      <c r="I347" s="4">
        <v>46181</v>
      </c>
      <c r="J347" s="3">
        <v>10000</v>
      </c>
      <c r="K347" s="3">
        <v>3000</v>
      </c>
      <c r="L347" s="3">
        <v>13000</v>
      </c>
      <c r="M347" s="3">
        <v>9500</v>
      </c>
      <c r="N347" s="3">
        <v>2500</v>
      </c>
      <c r="O347" s="3">
        <v>2167</v>
      </c>
      <c r="P347" s="3">
        <v>1167</v>
      </c>
      <c r="Q347" s="10">
        <f t="shared" si="5"/>
        <v>1167</v>
      </c>
      <c r="R347" s="3" t="s">
        <v>1330</v>
      </c>
    </row>
    <row r="348" spans="1:18" x14ac:dyDescent="0.25">
      <c r="A348" t="s">
        <v>404</v>
      </c>
      <c r="B348" s="3" t="s">
        <v>831</v>
      </c>
      <c r="C348" s="3" t="s">
        <v>1258</v>
      </c>
      <c r="D348" s="3" t="s">
        <v>1300</v>
      </c>
      <c r="E348" s="3">
        <v>2</v>
      </c>
      <c r="F348" s="3">
        <v>83</v>
      </c>
      <c r="G348" s="3">
        <v>9250</v>
      </c>
      <c r="H348" s="4">
        <v>46189</v>
      </c>
      <c r="I348" s="4">
        <v>46182</v>
      </c>
      <c r="J348" s="3">
        <v>8000</v>
      </c>
      <c r="K348" s="3">
        <v>3000</v>
      </c>
      <c r="L348" s="3">
        <v>11000</v>
      </c>
      <c r="M348" s="3">
        <v>6750</v>
      </c>
      <c r="N348" s="3">
        <v>2500</v>
      </c>
      <c r="O348" s="3">
        <v>1833</v>
      </c>
      <c r="P348" s="3">
        <v>83</v>
      </c>
      <c r="Q348" s="10">
        <f t="shared" si="5"/>
        <v>83</v>
      </c>
      <c r="R348" s="3" t="s">
        <v>1330</v>
      </c>
    </row>
    <row r="349" spans="1:18" x14ac:dyDescent="0.25">
      <c r="A349" t="s">
        <v>405</v>
      </c>
      <c r="B349" s="3" t="s">
        <v>832</v>
      </c>
      <c r="C349" s="3" t="s">
        <v>1259</v>
      </c>
      <c r="D349" s="3" t="s">
        <v>1299</v>
      </c>
      <c r="E349" s="3">
        <v>2</v>
      </c>
      <c r="F349" s="3">
        <v>2817</v>
      </c>
      <c r="G349" s="3">
        <v>16900</v>
      </c>
      <c r="H349" s="4">
        <v>46189</v>
      </c>
      <c r="I349" s="4">
        <v>46182</v>
      </c>
      <c r="J349" s="3">
        <v>13000</v>
      </c>
      <c r="K349" s="3">
        <v>3900</v>
      </c>
      <c r="L349" s="3">
        <v>16900</v>
      </c>
      <c r="M349" s="3">
        <v>13000</v>
      </c>
      <c r="N349" s="3">
        <v>3900</v>
      </c>
      <c r="O349" s="3">
        <v>2817</v>
      </c>
      <c r="P349" s="3">
        <v>2817</v>
      </c>
      <c r="Q349" s="10">
        <f t="shared" si="5"/>
        <v>2817</v>
      </c>
      <c r="R349" s="3" t="s">
        <v>1330</v>
      </c>
    </row>
    <row r="350" spans="1:18" x14ac:dyDescent="0.25">
      <c r="A350" t="s">
        <v>406</v>
      </c>
      <c r="B350" s="3" t="s">
        <v>833</v>
      </c>
      <c r="C350" s="3" t="s">
        <v>1260</v>
      </c>
      <c r="D350" s="3" t="s">
        <v>1311</v>
      </c>
      <c r="E350" s="3">
        <v>10</v>
      </c>
      <c r="F350" s="3">
        <v>6000</v>
      </c>
      <c r="G350" s="3">
        <v>9500</v>
      </c>
      <c r="H350" s="4">
        <v>46181</v>
      </c>
      <c r="I350" s="4">
        <v>46139</v>
      </c>
      <c r="J350" s="3">
        <v>20000</v>
      </c>
      <c r="K350" s="3">
        <v>8000</v>
      </c>
      <c r="L350" s="3">
        <v>28000</v>
      </c>
      <c r="M350" s="3">
        <v>7500</v>
      </c>
      <c r="N350" s="3">
        <v>2000</v>
      </c>
      <c r="O350" s="3">
        <v>3500</v>
      </c>
      <c r="P350" s="3">
        <v>6000</v>
      </c>
      <c r="Q350" s="10">
        <f t="shared" si="5"/>
        <v>6000</v>
      </c>
      <c r="R350" s="3" t="s">
        <v>1330</v>
      </c>
    </row>
    <row r="351" spans="1:18" x14ac:dyDescent="0.25">
      <c r="A351" t="s">
        <v>407</v>
      </c>
      <c r="B351" s="3" t="s">
        <v>834</v>
      </c>
      <c r="C351" s="3" t="s">
        <v>1261</v>
      </c>
      <c r="D351" s="3" t="s">
        <v>1300</v>
      </c>
      <c r="E351" s="3">
        <v>3</v>
      </c>
      <c r="F351" s="3">
        <v>1150</v>
      </c>
      <c r="G351" s="3">
        <v>1150</v>
      </c>
      <c r="H351" s="4">
        <v>46188</v>
      </c>
      <c r="I351" s="4">
        <v>46146</v>
      </c>
      <c r="J351" s="3">
        <v>10000</v>
      </c>
      <c r="K351" s="3">
        <v>3000</v>
      </c>
      <c r="L351" s="3">
        <v>13000</v>
      </c>
      <c r="M351" s="3">
        <v>1150</v>
      </c>
      <c r="N351" s="3">
        <v>0</v>
      </c>
      <c r="O351" s="3">
        <v>2167</v>
      </c>
      <c r="P351" s="3">
        <v>1150</v>
      </c>
      <c r="Q351" s="10">
        <f t="shared" si="5"/>
        <v>1150</v>
      </c>
      <c r="R351" s="3" t="s">
        <v>1330</v>
      </c>
    </row>
    <row r="352" spans="1:18" x14ac:dyDescent="0.25">
      <c r="A352" t="s">
        <v>408</v>
      </c>
      <c r="B352" s="3" t="s">
        <v>835</v>
      </c>
      <c r="C352" s="3" t="s">
        <v>1262</v>
      </c>
      <c r="D352" s="3" t="s">
        <v>1310</v>
      </c>
      <c r="E352" s="3">
        <v>9</v>
      </c>
      <c r="F352" s="3">
        <v>9050</v>
      </c>
      <c r="G352" s="3">
        <v>9050</v>
      </c>
      <c r="H352" s="4">
        <v>46182</v>
      </c>
      <c r="I352" s="4">
        <v>46147</v>
      </c>
      <c r="J352" s="3">
        <v>25000</v>
      </c>
      <c r="K352" s="3">
        <v>8750</v>
      </c>
      <c r="L352" s="3">
        <v>33750</v>
      </c>
      <c r="M352" s="3">
        <v>7590</v>
      </c>
      <c r="N352" s="3">
        <v>1460</v>
      </c>
      <c r="O352" s="3">
        <v>5625</v>
      </c>
      <c r="P352" s="3">
        <v>9050</v>
      </c>
      <c r="Q352" s="10">
        <f t="shared" si="5"/>
        <v>9050</v>
      </c>
      <c r="R352" s="3" t="s">
        <v>1330</v>
      </c>
    </row>
    <row r="353" spans="1:18" x14ac:dyDescent="0.25">
      <c r="A353" t="s">
        <v>409</v>
      </c>
      <c r="B353" s="3" t="s">
        <v>836</v>
      </c>
      <c r="C353" s="3" t="s">
        <v>1263</v>
      </c>
      <c r="D353" s="3" t="s">
        <v>1300</v>
      </c>
      <c r="E353" s="3">
        <v>15</v>
      </c>
      <c r="F353" s="3">
        <v>3700</v>
      </c>
      <c r="G353" s="3">
        <v>3700</v>
      </c>
      <c r="H353" s="4">
        <v>46176</v>
      </c>
      <c r="I353" s="4">
        <v>46148</v>
      </c>
      <c r="J353" s="3">
        <v>8000</v>
      </c>
      <c r="K353" s="3">
        <v>3000</v>
      </c>
      <c r="L353" s="3">
        <v>11000</v>
      </c>
      <c r="M353" s="3">
        <v>2700</v>
      </c>
      <c r="N353" s="3">
        <v>1000</v>
      </c>
      <c r="O353" s="3">
        <v>1833</v>
      </c>
      <c r="P353" s="3">
        <v>3700</v>
      </c>
      <c r="Q353" s="10">
        <f t="shared" si="5"/>
        <v>3700</v>
      </c>
      <c r="R353" s="3" t="s">
        <v>1330</v>
      </c>
    </row>
    <row r="354" spans="1:18" x14ac:dyDescent="0.25">
      <c r="A354" t="s">
        <v>410</v>
      </c>
      <c r="B354" s="3" t="s">
        <v>837</v>
      </c>
      <c r="C354" s="3" t="s">
        <v>1264</v>
      </c>
      <c r="D354" s="3" t="s">
        <v>1300</v>
      </c>
      <c r="E354" s="3">
        <v>14</v>
      </c>
      <c r="F354" s="3">
        <v>5980</v>
      </c>
      <c r="G354" s="3">
        <v>5980</v>
      </c>
      <c r="H354" s="4">
        <v>46177</v>
      </c>
      <c r="I354" s="4">
        <v>46149</v>
      </c>
      <c r="J354" s="3">
        <v>10000</v>
      </c>
      <c r="K354" s="3">
        <v>3000</v>
      </c>
      <c r="L354" s="3">
        <v>13000</v>
      </c>
      <c r="M354" s="3">
        <v>4980</v>
      </c>
      <c r="N354" s="3">
        <v>1000</v>
      </c>
      <c r="O354" s="3">
        <v>2167</v>
      </c>
      <c r="P354" s="3">
        <v>5980</v>
      </c>
      <c r="Q354" s="10">
        <f t="shared" si="5"/>
        <v>5980</v>
      </c>
      <c r="R354" s="3" t="s">
        <v>1330</v>
      </c>
    </row>
    <row r="355" spans="1:18" x14ac:dyDescent="0.25">
      <c r="A355" t="s">
        <v>411</v>
      </c>
      <c r="B355" s="3" t="s">
        <v>838</v>
      </c>
      <c r="C355" s="3" t="s">
        <v>1265</v>
      </c>
      <c r="D355" s="3" t="s">
        <v>1300</v>
      </c>
      <c r="E355" s="3">
        <v>7</v>
      </c>
      <c r="F355" s="3">
        <v>2255</v>
      </c>
      <c r="G355" s="3">
        <v>4420</v>
      </c>
      <c r="H355" s="4">
        <v>46184</v>
      </c>
      <c r="I355" s="4">
        <v>46156</v>
      </c>
      <c r="J355" s="3">
        <v>10000</v>
      </c>
      <c r="K355" s="3">
        <v>3000</v>
      </c>
      <c r="L355" s="3">
        <v>13000</v>
      </c>
      <c r="M355" s="3">
        <v>3420</v>
      </c>
      <c r="N355" s="3">
        <v>1000</v>
      </c>
      <c r="O355" s="3">
        <v>2167</v>
      </c>
      <c r="P355" s="3">
        <v>2255</v>
      </c>
      <c r="Q355" s="10">
        <f t="shared" si="5"/>
        <v>2255</v>
      </c>
      <c r="R355" s="3" t="s">
        <v>1330</v>
      </c>
    </row>
    <row r="356" spans="1:18" x14ac:dyDescent="0.25">
      <c r="A356" t="s">
        <v>412</v>
      </c>
      <c r="B356" s="3" t="s">
        <v>839</v>
      </c>
      <c r="C356" s="3" t="s">
        <v>1266</v>
      </c>
      <c r="D356" s="3" t="s">
        <v>1299</v>
      </c>
      <c r="E356" s="3">
        <v>3</v>
      </c>
      <c r="F356" s="3">
        <v>918</v>
      </c>
      <c r="G356" s="3">
        <v>6550</v>
      </c>
      <c r="H356" s="4">
        <v>46188</v>
      </c>
      <c r="I356" s="4">
        <v>46160</v>
      </c>
      <c r="J356" s="3">
        <v>13000</v>
      </c>
      <c r="K356" s="3">
        <v>3900</v>
      </c>
      <c r="L356" s="3">
        <v>16900</v>
      </c>
      <c r="M356" s="3">
        <v>5250</v>
      </c>
      <c r="N356" s="3">
        <v>1300</v>
      </c>
      <c r="O356" s="3">
        <v>2817</v>
      </c>
      <c r="P356" s="3">
        <v>918</v>
      </c>
      <c r="Q356" s="10">
        <f t="shared" si="5"/>
        <v>918</v>
      </c>
      <c r="R356" s="3" t="s">
        <v>1330</v>
      </c>
    </row>
    <row r="357" spans="1:18" x14ac:dyDescent="0.25">
      <c r="A357" t="s">
        <v>413</v>
      </c>
      <c r="B357" s="3" t="s">
        <v>840</v>
      </c>
      <c r="C357" s="3" t="s">
        <v>1267</v>
      </c>
      <c r="D357" s="3" t="s">
        <v>1299</v>
      </c>
      <c r="E357" s="3">
        <v>2</v>
      </c>
      <c r="F357" s="3">
        <v>1285</v>
      </c>
      <c r="G357" s="3">
        <v>6485</v>
      </c>
      <c r="H357" s="4">
        <v>46189</v>
      </c>
      <c r="I357" s="4">
        <v>46161</v>
      </c>
      <c r="J357" s="3">
        <v>12000</v>
      </c>
      <c r="K357" s="3">
        <v>3600</v>
      </c>
      <c r="L357" s="3">
        <v>15600</v>
      </c>
      <c r="M357" s="3">
        <v>5285</v>
      </c>
      <c r="N357" s="3">
        <v>1200</v>
      </c>
      <c r="O357" s="3">
        <v>2600</v>
      </c>
      <c r="P357" s="3">
        <v>1285</v>
      </c>
      <c r="Q357" s="10">
        <f t="shared" si="5"/>
        <v>1285</v>
      </c>
      <c r="R357" s="3" t="s">
        <v>1330</v>
      </c>
    </row>
    <row r="358" spans="1:18" x14ac:dyDescent="0.25">
      <c r="A358" t="s">
        <v>414</v>
      </c>
      <c r="B358" s="3" t="s">
        <v>841</v>
      </c>
      <c r="C358" s="3" t="s">
        <v>1268</v>
      </c>
      <c r="D358" s="3" t="s">
        <v>1311</v>
      </c>
      <c r="E358" s="3">
        <v>2</v>
      </c>
      <c r="F358" s="3">
        <v>1351</v>
      </c>
      <c r="G358" s="3">
        <v>11750</v>
      </c>
      <c r="H358" s="4">
        <v>46189</v>
      </c>
      <c r="I358" s="4">
        <v>46168</v>
      </c>
      <c r="J358" s="3">
        <v>16000</v>
      </c>
      <c r="K358" s="3">
        <v>4800</v>
      </c>
      <c r="L358" s="3">
        <v>20800</v>
      </c>
      <c r="M358" s="3">
        <v>9350</v>
      </c>
      <c r="N358" s="3">
        <v>2400</v>
      </c>
      <c r="O358" s="3">
        <v>3467</v>
      </c>
      <c r="P358" s="3">
        <v>1351</v>
      </c>
      <c r="Q358" s="10">
        <f t="shared" si="5"/>
        <v>1351</v>
      </c>
      <c r="R358" s="3" t="s">
        <v>1330</v>
      </c>
    </row>
    <row r="359" spans="1:18" x14ac:dyDescent="0.25">
      <c r="A359" t="s">
        <v>415</v>
      </c>
      <c r="B359" s="3" t="s">
        <v>842</v>
      </c>
      <c r="C359" s="3" t="s">
        <v>1269</v>
      </c>
      <c r="D359" s="3" t="s">
        <v>1299</v>
      </c>
      <c r="E359" s="3">
        <v>2</v>
      </c>
      <c r="F359" s="3">
        <v>2950</v>
      </c>
      <c r="G359" s="3">
        <v>12700</v>
      </c>
      <c r="H359" s="4">
        <v>46189</v>
      </c>
      <c r="I359" s="4">
        <v>46168</v>
      </c>
      <c r="J359" s="3">
        <v>15000</v>
      </c>
      <c r="K359" s="3">
        <v>4500</v>
      </c>
      <c r="L359" s="3">
        <v>19500</v>
      </c>
      <c r="M359" s="3">
        <v>10000</v>
      </c>
      <c r="N359" s="3">
        <v>2700</v>
      </c>
      <c r="O359" s="3">
        <v>3250</v>
      </c>
      <c r="P359" s="3">
        <v>2950</v>
      </c>
      <c r="Q359" s="10">
        <f t="shared" si="5"/>
        <v>2950</v>
      </c>
      <c r="R359" s="3" t="s">
        <v>1330</v>
      </c>
    </row>
    <row r="360" spans="1:18" x14ac:dyDescent="0.25">
      <c r="A360" t="s">
        <v>416</v>
      </c>
      <c r="B360" s="3" t="s">
        <v>843</v>
      </c>
      <c r="C360" s="3" t="s">
        <v>1270</v>
      </c>
      <c r="D360" s="3" t="s">
        <v>1300</v>
      </c>
      <c r="E360" s="3">
        <v>1</v>
      </c>
      <c r="F360" s="3">
        <v>2164</v>
      </c>
      <c r="G360" s="3">
        <v>10830</v>
      </c>
      <c r="H360" s="4">
        <v>46190</v>
      </c>
      <c r="I360" s="4">
        <v>46176</v>
      </c>
      <c r="J360" s="3">
        <v>10000</v>
      </c>
      <c r="K360" s="3">
        <v>3000</v>
      </c>
      <c r="L360" s="3">
        <v>13000</v>
      </c>
      <c r="M360" s="3">
        <v>8333</v>
      </c>
      <c r="N360" s="3">
        <v>2497</v>
      </c>
      <c r="O360" s="3">
        <v>2167</v>
      </c>
      <c r="P360" s="3">
        <v>2164</v>
      </c>
      <c r="Q360" s="10">
        <f t="shared" si="5"/>
        <v>2164</v>
      </c>
      <c r="R360" s="3" t="s">
        <v>1330</v>
      </c>
    </row>
    <row r="361" spans="1:18" x14ac:dyDescent="0.25">
      <c r="A361" t="s">
        <v>417</v>
      </c>
      <c r="B361" s="3" t="s">
        <v>844</v>
      </c>
      <c r="C361" s="3" t="s">
        <v>1271</v>
      </c>
      <c r="D361" s="3" t="s">
        <v>1311</v>
      </c>
      <c r="E361" s="3">
        <v>1</v>
      </c>
      <c r="F361" s="3">
        <v>2500</v>
      </c>
      <c r="G361" s="3">
        <v>23500</v>
      </c>
      <c r="H361" s="4">
        <v>46190</v>
      </c>
      <c r="I361" s="4">
        <v>46176</v>
      </c>
      <c r="J361" s="3">
        <v>20000</v>
      </c>
      <c r="K361" s="3">
        <v>8000</v>
      </c>
      <c r="L361" s="3">
        <v>28000</v>
      </c>
      <c r="M361" s="3">
        <v>17500</v>
      </c>
      <c r="N361" s="3">
        <v>6000</v>
      </c>
      <c r="O361" s="3">
        <v>3500</v>
      </c>
      <c r="P361" s="3">
        <v>2500</v>
      </c>
      <c r="Q361" s="10">
        <f t="shared" si="5"/>
        <v>2500</v>
      </c>
      <c r="R361" s="3" t="s">
        <v>1330</v>
      </c>
    </row>
    <row r="362" spans="1:18" x14ac:dyDescent="0.25">
      <c r="A362" t="s">
        <v>418</v>
      </c>
      <c r="B362" s="3" t="s">
        <v>845</v>
      </c>
      <c r="C362" s="3" t="s">
        <v>1272</v>
      </c>
      <c r="D362" s="3" t="s">
        <v>1311</v>
      </c>
      <c r="E362" s="3">
        <v>3</v>
      </c>
      <c r="F362" s="3">
        <v>17</v>
      </c>
      <c r="G362" s="3">
        <v>17350</v>
      </c>
      <c r="H362" s="4">
        <v>46188</v>
      </c>
      <c r="I362" s="4">
        <v>46181</v>
      </c>
      <c r="J362" s="3">
        <v>16000</v>
      </c>
      <c r="K362" s="3">
        <v>4800</v>
      </c>
      <c r="L362" s="3">
        <v>20800</v>
      </c>
      <c r="M362" s="3">
        <v>13350</v>
      </c>
      <c r="N362" s="3">
        <v>4000</v>
      </c>
      <c r="O362" s="3">
        <v>3467</v>
      </c>
      <c r="P362" s="3">
        <v>17</v>
      </c>
      <c r="Q362" s="10">
        <f t="shared" si="5"/>
        <v>17</v>
      </c>
      <c r="R362" s="3" t="s">
        <v>1330</v>
      </c>
    </row>
    <row r="363" spans="1:18" x14ac:dyDescent="0.25">
      <c r="A363" t="s">
        <v>419</v>
      </c>
      <c r="B363" s="3" t="s">
        <v>846</v>
      </c>
      <c r="C363" s="3" t="s">
        <v>1273</v>
      </c>
      <c r="D363" s="3" t="s">
        <v>1311</v>
      </c>
      <c r="E363" s="3">
        <v>1</v>
      </c>
      <c r="F363" s="3">
        <v>4333</v>
      </c>
      <c r="G363" s="3">
        <v>26000</v>
      </c>
      <c r="H363" s="4">
        <v>46190</v>
      </c>
      <c r="I363" s="4">
        <v>46183</v>
      </c>
      <c r="J363" s="3">
        <v>20000</v>
      </c>
      <c r="K363" s="3">
        <v>6000</v>
      </c>
      <c r="L363" s="3">
        <v>26000</v>
      </c>
      <c r="M363" s="3">
        <v>20000</v>
      </c>
      <c r="N363" s="3">
        <v>6000</v>
      </c>
      <c r="O363" s="3">
        <v>4333</v>
      </c>
      <c r="P363" s="3">
        <v>4333</v>
      </c>
      <c r="Q363" s="10">
        <f t="shared" si="5"/>
        <v>4333</v>
      </c>
      <c r="R363" s="3" t="s">
        <v>1330</v>
      </c>
    </row>
    <row r="364" spans="1:18" x14ac:dyDescent="0.25">
      <c r="A364" t="s">
        <v>420</v>
      </c>
      <c r="B364" s="3" t="s">
        <v>847</v>
      </c>
      <c r="C364" s="3" t="s">
        <v>1274</v>
      </c>
      <c r="D364" s="3" t="s">
        <v>1303</v>
      </c>
      <c r="E364" s="3">
        <v>27</v>
      </c>
      <c r="F364" s="3">
        <v>4149</v>
      </c>
      <c r="G364" s="3">
        <v>39980</v>
      </c>
      <c r="H364" s="4">
        <v>46164</v>
      </c>
      <c r="I364" s="4">
        <v>45952</v>
      </c>
      <c r="J364" s="3">
        <v>50000</v>
      </c>
      <c r="K364" s="3">
        <v>36000</v>
      </c>
      <c r="L364" s="3">
        <v>86000</v>
      </c>
      <c r="M364" s="3">
        <v>24980</v>
      </c>
      <c r="N364" s="3">
        <v>15000</v>
      </c>
      <c r="O364" s="3">
        <v>7167</v>
      </c>
      <c r="P364" s="3">
        <v>4149</v>
      </c>
      <c r="Q364" s="10">
        <f t="shared" si="5"/>
        <v>4149</v>
      </c>
      <c r="R364" s="3" t="s">
        <v>1331</v>
      </c>
    </row>
    <row r="365" spans="1:18" x14ac:dyDescent="0.25">
      <c r="A365" t="s">
        <v>421</v>
      </c>
      <c r="B365" s="3" t="s">
        <v>848</v>
      </c>
      <c r="C365" s="3" t="s">
        <v>1275</v>
      </c>
      <c r="D365" s="3" t="s">
        <v>1303</v>
      </c>
      <c r="E365" s="3">
        <v>13</v>
      </c>
      <c r="F365" s="3">
        <v>11800</v>
      </c>
      <c r="G365" s="3">
        <v>88600</v>
      </c>
      <c r="H365" s="4">
        <v>46178</v>
      </c>
      <c r="I365" s="4">
        <v>46058</v>
      </c>
      <c r="J365" s="3">
        <v>80000</v>
      </c>
      <c r="K365" s="3">
        <v>48000</v>
      </c>
      <c r="L365" s="3">
        <v>128000</v>
      </c>
      <c r="M365" s="3">
        <v>56000</v>
      </c>
      <c r="N365" s="3">
        <v>32600</v>
      </c>
      <c r="O365" s="3">
        <v>12800</v>
      </c>
      <c r="P365" s="3">
        <v>11800</v>
      </c>
      <c r="Q365" s="10">
        <f t="shared" si="5"/>
        <v>11800</v>
      </c>
      <c r="R365" s="3" t="s">
        <v>1331</v>
      </c>
    </row>
    <row r="366" spans="1:18" x14ac:dyDescent="0.25">
      <c r="A366" t="s">
        <v>422</v>
      </c>
      <c r="B366" s="3" t="s">
        <v>849</v>
      </c>
      <c r="C366" s="3" t="s">
        <v>1276</v>
      </c>
      <c r="D366" s="3" t="s">
        <v>1311</v>
      </c>
      <c r="E366" s="3">
        <v>30</v>
      </c>
      <c r="F366" s="3">
        <v>1165</v>
      </c>
      <c r="G366" s="3">
        <v>1165</v>
      </c>
      <c r="H366" s="4">
        <v>46161</v>
      </c>
      <c r="I366" s="4">
        <v>46119</v>
      </c>
      <c r="J366" s="3">
        <v>17000</v>
      </c>
      <c r="K366" s="3">
        <v>5100</v>
      </c>
      <c r="L366" s="3">
        <v>22100</v>
      </c>
      <c r="M366" s="3">
        <v>1165</v>
      </c>
      <c r="N366" s="3">
        <v>0</v>
      </c>
      <c r="O366" s="3">
        <v>3683</v>
      </c>
      <c r="P366" s="3">
        <v>1165</v>
      </c>
      <c r="Q366" s="10">
        <f t="shared" si="5"/>
        <v>1165</v>
      </c>
      <c r="R366" s="3" t="s">
        <v>1331</v>
      </c>
    </row>
    <row r="367" spans="1:18" x14ac:dyDescent="0.25">
      <c r="A367" t="s">
        <v>423</v>
      </c>
      <c r="B367" s="3" t="s">
        <v>850</v>
      </c>
      <c r="C367" s="3" t="s">
        <v>1277</v>
      </c>
      <c r="D367" s="3" t="s">
        <v>1311</v>
      </c>
      <c r="E367" s="3">
        <v>27</v>
      </c>
      <c r="F367" s="3">
        <v>7715</v>
      </c>
      <c r="G367" s="3">
        <v>7715</v>
      </c>
      <c r="H367" s="4">
        <v>46164</v>
      </c>
      <c r="I367" s="4">
        <v>46129</v>
      </c>
      <c r="J367" s="3">
        <v>20000</v>
      </c>
      <c r="K367" s="3">
        <v>6000</v>
      </c>
      <c r="L367" s="3">
        <v>26000</v>
      </c>
      <c r="M367" s="3">
        <v>6668</v>
      </c>
      <c r="N367" s="3">
        <v>1047</v>
      </c>
      <c r="O367" s="3">
        <v>4333</v>
      </c>
      <c r="P367" s="3">
        <v>7715</v>
      </c>
      <c r="Q367" s="10">
        <f t="shared" si="5"/>
        <v>7715</v>
      </c>
      <c r="R367" s="3" t="s">
        <v>1331</v>
      </c>
    </row>
    <row r="368" spans="1:18" x14ac:dyDescent="0.25">
      <c r="A368" t="s">
        <v>424</v>
      </c>
      <c r="B368" s="3" t="s">
        <v>851</v>
      </c>
      <c r="C368" s="3" t="s">
        <v>1278</v>
      </c>
      <c r="D368" s="3" t="s">
        <v>1300</v>
      </c>
      <c r="E368" s="3">
        <v>23</v>
      </c>
      <c r="F368" s="3">
        <v>4930</v>
      </c>
      <c r="G368" s="3">
        <v>4930</v>
      </c>
      <c r="H368" s="4">
        <v>46168</v>
      </c>
      <c r="I368" s="4">
        <v>46140</v>
      </c>
      <c r="J368" s="3">
        <v>10000</v>
      </c>
      <c r="K368" s="3">
        <v>3000</v>
      </c>
      <c r="L368" s="3">
        <v>13000</v>
      </c>
      <c r="M368" s="3">
        <v>3930</v>
      </c>
      <c r="N368" s="3">
        <v>1000</v>
      </c>
      <c r="O368" s="3">
        <v>2167</v>
      </c>
      <c r="P368" s="3">
        <v>4930</v>
      </c>
      <c r="Q368" s="10">
        <f t="shared" si="5"/>
        <v>4930</v>
      </c>
      <c r="R368" s="3" t="s">
        <v>1331</v>
      </c>
    </row>
    <row r="369" spans="1:18" x14ac:dyDescent="0.25">
      <c r="A369" t="s">
        <v>425</v>
      </c>
      <c r="B369" s="3" t="s">
        <v>852</v>
      </c>
      <c r="C369" s="3" t="s">
        <v>1279</v>
      </c>
      <c r="D369" s="3" t="s">
        <v>1300</v>
      </c>
      <c r="E369" s="3">
        <v>10</v>
      </c>
      <c r="F369" s="3">
        <v>2700</v>
      </c>
      <c r="G369" s="3">
        <v>2700</v>
      </c>
      <c r="H369" s="4">
        <v>46181</v>
      </c>
      <c r="I369" s="4">
        <v>46146</v>
      </c>
      <c r="J369" s="3">
        <v>10000</v>
      </c>
      <c r="K369" s="3">
        <v>3000</v>
      </c>
      <c r="L369" s="3">
        <v>13000</v>
      </c>
      <c r="M369" s="3">
        <v>2200</v>
      </c>
      <c r="N369" s="3">
        <v>500</v>
      </c>
      <c r="O369" s="3">
        <v>2167</v>
      </c>
      <c r="P369" s="3">
        <v>2700</v>
      </c>
      <c r="Q369" s="10">
        <f t="shared" si="5"/>
        <v>2700</v>
      </c>
      <c r="R369" s="3" t="s">
        <v>1331</v>
      </c>
    </row>
    <row r="370" spans="1:18" x14ac:dyDescent="0.25">
      <c r="A370" t="s">
        <v>426</v>
      </c>
      <c r="B370" s="3" t="s">
        <v>853</v>
      </c>
      <c r="C370" s="3" t="s">
        <v>1280</v>
      </c>
      <c r="D370" s="3" t="s">
        <v>1300</v>
      </c>
      <c r="E370" s="3">
        <v>1</v>
      </c>
      <c r="F370" s="3">
        <v>2164</v>
      </c>
      <c r="G370" s="3">
        <v>10830</v>
      </c>
      <c r="H370" s="4">
        <v>46190</v>
      </c>
      <c r="I370" s="4">
        <v>46176</v>
      </c>
      <c r="J370" s="3">
        <v>10000</v>
      </c>
      <c r="K370" s="3">
        <v>3000</v>
      </c>
      <c r="L370" s="3">
        <v>13000</v>
      </c>
      <c r="M370" s="3">
        <v>8333</v>
      </c>
      <c r="N370" s="3">
        <v>2497</v>
      </c>
      <c r="O370" s="3">
        <v>2167</v>
      </c>
      <c r="P370" s="3">
        <v>2164</v>
      </c>
      <c r="Q370" s="10">
        <f t="shared" si="5"/>
        <v>2164</v>
      </c>
      <c r="R370" s="3" t="s">
        <v>1331</v>
      </c>
    </row>
    <row r="371" spans="1:18" x14ac:dyDescent="0.25">
      <c r="A371" t="s">
        <v>427</v>
      </c>
      <c r="B371" s="3" t="s">
        <v>854</v>
      </c>
      <c r="C371" s="3" t="s">
        <v>1281</v>
      </c>
      <c r="D371" s="3" t="s">
        <v>1300</v>
      </c>
      <c r="E371" s="3">
        <v>14</v>
      </c>
      <c r="F371" s="3">
        <v>2330</v>
      </c>
      <c r="G371" s="3">
        <v>2330</v>
      </c>
      <c r="H371" s="4">
        <v>46177</v>
      </c>
      <c r="I371" s="4">
        <v>46142</v>
      </c>
      <c r="J371" s="3">
        <v>10000</v>
      </c>
      <c r="K371" s="3">
        <v>3000</v>
      </c>
      <c r="L371" s="3">
        <v>13000</v>
      </c>
      <c r="M371" s="3">
        <v>1830</v>
      </c>
      <c r="N371" s="3">
        <v>500</v>
      </c>
      <c r="O371" s="3">
        <v>2167</v>
      </c>
      <c r="P371" s="3">
        <v>2330</v>
      </c>
      <c r="Q371" s="10">
        <f t="shared" si="5"/>
        <v>2330</v>
      </c>
      <c r="R371" s="3" t="s">
        <v>1331</v>
      </c>
    </row>
    <row r="372" spans="1:18" x14ac:dyDescent="0.25">
      <c r="A372" t="s">
        <v>428</v>
      </c>
      <c r="B372" s="3" t="s">
        <v>855</v>
      </c>
      <c r="C372" s="3" t="s">
        <v>1282</v>
      </c>
      <c r="D372" s="3" t="s">
        <v>1300</v>
      </c>
      <c r="E372" s="3">
        <v>2</v>
      </c>
      <c r="F372" s="3">
        <v>2155</v>
      </c>
      <c r="G372" s="3">
        <v>4320</v>
      </c>
      <c r="H372" s="4">
        <v>46189</v>
      </c>
      <c r="I372" s="4">
        <v>46154</v>
      </c>
      <c r="J372" s="3">
        <v>10000</v>
      </c>
      <c r="K372" s="3">
        <v>3000</v>
      </c>
      <c r="L372" s="3">
        <v>13000</v>
      </c>
      <c r="M372" s="3">
        <v>3332</v>
      </c>
      <c r="N372" s="3">
        <v>988</v>
      </c>
      <c r="O372" s="3">
        <v>2167</v>
      </c>
      <c r="P372" s="3">
        <v>2155</v>
      </c>
      <c r="Q372" s="10">
        <f t="shared" si="5"/>
        <v>2155</v>
      </c>
      <c r="R372" s="3" t="s">
        <v>1331</v>
      </c>
    </row>
    <row r="373" spans="1:18" x14ac:dyDescent="0.25">
      <c r="A373" t="s">
        <v>429</v>
      </c>
      <c r="B373" s="3" t="s">
        <v>856</v>
      </c>
      <c r="C373" s="3" t="s">
        <v>1283</v>
      </c>
      <c r="D373" s="3" t="s">
        <v>1300</v>
      </c>
      <c r="E373" s="3">
        <v>3</v>
      </c>
      <c r="F373" s="3">
        <v>1000</v>
      </c>
      <c r="G373" s="3">
        <v>4000</v>
      </c>
      <c r="H373" s="4">
        <v>46188</v>
      </c>
      <c r="I373" s="4">
        <v>46167</v>
      </c>
      <c r="J373" s="3">
        <v>10000</v>
      </c>
      <c r="K373" s="3">
        <v>2000</v>
      </c>
      <c r="L373" s="3">
        <v>12000</v>
      </c>
      <c r="M373" s="3">
        <v>3500</v>
      </c>
      <c r="N373" s="3">
        <v>500</v>
      </c>
      <c r="O373" s="3">
        <v>3000</v>
      </c>
      <c r="P373" s="3">
        <v>1000</v>
      </c>
      <c r="Q373" s="10">
        <f t="shared" si="5"/>
        <v>1000</v>
      </c>
      <c r="R373" s="3" t="s">
        <v>1331</v>
      </c>
    </row>
    <row r="374" spans="1:18" x14ac:dyDescent="0.25">
      <c r="A374" t="s">
        <v>430</v>
      </c>
      <c r="B374" s="3" t="s">
        <v>857</v>
      </c>
      <c r="C374" s="3" t="s">
        <v>1284</v>
      </c>
      <c r="D374" s="3" t="s">
        <v>1300</v>
      </c>
      <c r="E374" s="3">
        <v>1</v>
      </c>
      <c r="F374" s="3">
        <v>3000</v>
      </c>
      <c r="G374" s="3">
        <v>12000</v>
      </c>
      <c r="H374" s="4">
        <v>46190</v>
      </c>
      <c r="I374" s="4">
        <v>46183</v>
      </c>
      <c r="J374" s="3">
        <v>10000</v>
      </c>
      <c r="K374" s="3">
        <v>2000</v>
      </c>
      <c r="L374" s="3">
        <v>12000</v>
      </c>
      <c r="M374" s="3">
        <v>10000</v>
      </c>
      <c r="N374" s="3">
        <v>2000</v>
      </c>
      <c r="O374" s="3">
        <v>3000</v>
      </c>
      <c r="P374" s="3">
        <v>3000</v>
      </c>
      <c r="Q374" s="10">
        <f t="shared" si="5"/>
        <v>3000</v>
      </c>
      <c r="R374" s="3" t="s">
        <v>1331</v>
      </c>
    </row>
    <row r="375" spans="1:18" x14ac:dyDescent="0.25">
      <c r="A375" t="s">
        <v>431</v>
      </c>
      <c r="B375" s="3" t="s">
        <v>858</v>
      </c>
      <c r="C375" s="3" t="s">
        <v>1285</v>
      </c>
      <c r="D375" s="3" t="s">
        <v>1300</v>
      </c>
      <c r="E375" s="3">
        <v>1</v>
      </c>
      <c r="F375" s="3">
        <v>3000</v>
      </c>
      <c r="G375" s="3">
        <v>12000</v>
      </c>
      <c r="H375" s="4">
        <v>46190</v>
      </c>
      <c r="I375" s="4">
        <v>46183</v>
      </c>
      <c r="J375" s="3">
        <v>10000</v>
      </c>
      <c r="K375" s="3">
        <v>2000</v>
      </c>
      <c r="L375" s="3">
        <v>12000</v>
      </c>
      <c r="M375" s="3">
        <v>10000</v>
      </c>
      <c r="N375" s="3">
        <v>2000</v>
      </c>
      <c r="O375" s="3">
        <v>3000</v>
      </c>
      <c r="P375" s="3">
        <v>3000</v>
      </c>
      <c r="Q375" s="10">
        <f t="shared" si="5"/>
        <v>3000</v>
      </c>
      <c r="R375" s="3" t="s">
        <v>1331</v>
      </c>
    </row>
    <row r="376" spans="1:18" x14ac:dyDescent="0.25">
      <c r="A376" t="s">
        <v>432</v>
      </c>
      <c r="B376" s="3" t="s">
        <v>859</v>
      </c>
      <c r="C376" s="3" t="s">
        <v>1286</v>
      </c>
      <c r="D376" s="3" t="s">
        <v>1301</v>
      </c>
      <c r="E376" s="3">
        <v>3</v>
      </c>
      <c r="F376" s="3">
        <v>500</v>
      </c>
      <c r="G376" s="3">
        <v>500</v>
      </c>
      <c r="H376" s="4">
        <v>46188</v>
      </c>
      <c r="I376" s="4">
        <v>46160</v>
      </c>
      <c r="J376" s="3">
        <v>5000</v>
      </c>
      <c r="K376" s="3">
        <v>1000</v>
      </c>
      <c r="L376" s="3">
        <v>6000</v>
      </c>
      <c r="M376" s="3">
        <v>500</v>
      </c>
      <c r="N376" s="3">
        <v>0</v>
      </c>
      <c r="O376" s="3">
        <v>1500</v>
      </c>
      <c r="P376" s="3">
        <v>500</v>
      </c>
      <c r="Q376" s="10">
        <f t="shared" si="5"/>
        <v>500</v>
      </c>
      <c r="R376" s="3" t="s">
        <v>1331</v>
      </c>
    </row>
    <row r="377" spans="1:18" x14ac:dyDescent="0.25">
      <c r="A377" t="s">
        <v>433</v>
      </c>
      <c r="B377" s="3" t="s">
        <v>860</v>
      </c>
      <c r="C377" s="3" t="s">
        <v>1287</v>
      </c>
      <c r="D377" s="3" t="s">
        <v>1300</v>
      </c>
      <c r="E377" s="3">
        <v>2</v>
      </c>
      <c r="F377" s="3">
        <v>3000</v>
      </c>
      <c r="G377" s="3">
        <v>9000</v>
      </c>
      <c r="H377" s="4">
        <v>46189</v>
      </c>
      <c r="I377" s="4">
        <v>46175</v>
      </c>
      <c r="J377" s="3">
        <v>10000</v>
      </c>
      <c r="K377" s="3">
        <v>2000</v>
      </c>
      <c r="L377" s="3">
        <v>12000</v>
      </c>
      <c r="M377" s="3">
        <v>7500</v>
      </c>
      <c r="N377" s="3">
        <v>1500</v>
      </c>
      <c r="O377" s="3">
        <v>3000</v>
      </c>
      <c r="P377" s="3">
        <v>3000</v>
      </c>
      <c r="Q377" s="10">
        <f t="shared" si="5"/>
        <v>3000</v>
      </c>
      <c r="R377" s="3" t="s">
        <v>1331</v>
      </c>
    </row>
    <row r="378" spans="1:18" x14ac:dyDescent="0.25">
      <c r="A378" t="s">
        <v>434</v>
      </c>
      <c r="B378" s="3" t="s">
        <v>861</v>
      </c>
      <c r="C378" s="3" t="s">
        <v>1288</v>
      </c>
      <c r="D378" s="3" t="s">
        <v>1311</v>
      </c>
      <c r="E378" s="3">
        <v>2</v>
      </c>
      <c r="F378" s="3">
        <v>4331</v>
      </c>
      <c r="G378" s="3">
        <v>21665</v>
      </c>
      <c r="H378" s="4">
        <v>46189</v>
      </c>
      <c r="I378" s="4">
        <v>46175</v>
      </c>
      <c r="J378" s="3">
        <v>20000</v>
      </c>
      <c r="K378" s="3">
        <v>6000</v>
      </c>
      <c r="L378" s="3">
        <v>26000</v>
      </c>
      <c r="M378" s="3">
        <v>16667</v>
      </c>
      <c r="N378" s="3">
        <v>4998</v>
      </c>
      <c r="O378" s="3">
        <v>4333</v>
      </c>
      <c r="P378" s="3">
        <v>4331</v>
      </c>
      <c r="Q378" s="10">
        <f t="shared" si="5"/>
        <v>4331</v>
      </c>
      <c r="R378" s="3" t="s">
        <v>1331</v>
      </c>
    </row>
    <row r="379" spans="1:18" x14ac:dyDescent="0.25">
      <c r="A379" t="s">
        <v>435</v>
      </c>
      <c r="B379" s="3" t="s">
        <v>862</v>
      </c>
      <c r="C379" s="3" t="s">
        <v>1289</v>
      </c>
      <c r="D379" s="3" t="s">
        <v>1300</v>
      </c>
      <c r="E379" s="3">
        <v>1</v>
      </c>
      <c r="F379" s="3">
        <v>2248</v>
      </c>
      <c r="G379" s="3">
        <v>6745</v>
      </c>
      <c r="H379" s="4">
        <v>46190</v>
      </c>
      <c r="I379" s="4">
        <v>46176</v>
      </c>
      <c r="J379" s="3">
        <v>7000</v>
      </c>
      <c r="K379" s="3">
        <v>1995</v>
      </c>
      <c r="L379" s="3">
        <v>8995</v>
      </c>
      <c r="M379" s="3">
        <v>5250</v>
      </c>
      <c r="N379" s="3">
        <v>1495</v>
      </c>
      <c r="O379" s="3">
        <v>2249</v>
      </c>
      <c r="P379" s="3">
        <v>2248</v>
      </c>
      <c r="Q379" s="10">
        <f t="shared" si="5"/>
        <v>2248</v>
      </c>
      <c r="R379" s="3" t="s">
        <v>1331</v>
      </c>
    </row>
    <row r="380" spans="1:18" x14ac:dyDescent="0.25">
      <c r="A380" t="s">
        <v>436</v>
      </c>
      <c r="B380" s="3" t="s">
        <v>863</v>
      </c>
      <c r="C380" s="3" t="s">
        <v>1290</v>
      </c>
      <c r="D380" s="3" t="s">
        <v>1301</v>
      </c>
      <c r="E380" s="3">
        <v>1</v>
      </c>
      <c r="F380" s="3">
        <v>1500</v>
      </c>
      <c r="G380" s="3">
        <v>4500</v>
      </c>
      <c r="H380" s="4">
        <v>46190</v>
      </c>
      <c r="I380" s="4">
        <v>46176</v>
      </c>
      <c r="J380" s="3">
        <v>5000</v>
      </c>
      <c r="K380" s="3">
        <v>1000</v>
      </c>
      <c r="L380" s="3">
        <v>6000</v>
      </c>
      <c r="M380" s="3">
        <v>3750</v>
      </c>
      <c r="N380" s="3">
        <v>750</v>
      </c>
      <c r="O380" s="3">
        <v>1500</v>
      </c>
      <c r="P380" s="3">
        <v>1500</v>
      </c>
      <c r="Q380" s="10">
        <f t="shared" si="5"/>
        <v>1500</v>
      </c>
      <c r="R380" s="3" t="s">
        <v>1331</v>
      </c>
    </row>
    <row r="381" spans="1:18" x14ac:dyDescent="0.25">
      <c r="A381" t="s">
        <v>437</v>
      </c>
      <c r="B381" s="3" t="s">
        <v>864</v>
      </c>
      <c r="C381" s="3" t="s">
        <v>1291</v>
      </c>
      <c r="D381" s="3" t="s">
        <v>1301</v>
      </c>
      <c r="E381" s="3">
        <v>3</v>
      </c>
      <c r="F381" s="3">
        <v>1500</v>
      </c>
      <c r="G381" s="3">
        <v>6000</v>
      </c>
      <c r="H381" s="4">
        <v>46188</v>
      </c>
      <c r="I381" s="4">
        <v>46181</v>
      </c>
      <c r="J381" s="3">
        <v>5000</v>
      </c>
      <c r="K381" s="3">
        <v>1000</v>
      </c>
      <c r="L381" s="3">
        <v>6000</v>
      </c>
      <c r="M381" s="3">
        <v>5000</v>
      </c>
      <c r="N381" s="3">
        <v>1000</v>
      </c>
      <c r="O381" s="3">
        <v>1500</v>
      </c>
      <c r="P381" s="3">
        <v>1500</v>
      </c>
      <c r="Q381" s="10">
        <f t="shared" si="5"/>
        <v>1500</v>
      </c>
      <c r="R381" s="3" t="s">
        <v>1331</v>
      </c>
    </row>
    <row r="382" spans="1:18" x14ac:dyDescent="0.25">
      <c r="A382" t="s">
        <v>438</v>
      </c>
      <c r="B382" s="3" t="s">
        <v>865</v>
      </c>
      <c r="C382" s="3" t="s">
        <v>1292</v>
      </c>
      <c r="D382" s="3" t="s">
        <v>1301</v>
      </c>
      <c r="E382" s="3">
        <v>3</v>
      </c>
      <c r="F382" s="3">
        <v>300</v>
      </c>
      <c r="G382" s="3">
        <v>4800</v>
      </c>
      <c r="H382" s="4">
        <v>46188</v>
      </c>
      <c r="I382" s="4">
        <v>46181</v>
      </c>
      <c r="J382" s="3">
        <v>5000</v>
      </c>
      <c r="K382" s="3">
        <v>1000</v>
      </c>
      <c r="L382" s="3">
        <v>6000</v>
      </c>
      <c r="M382" s="3">
        <v>4050</v>
      </c>
      <c r="N382" s="3">
        <v>750</v>
      </c>
      <c r="O382" s="3">
        <v>1500</v>
      </c>
      <c r="P382" s="3">
        <v>300</v>
      </c>
      <c r="Q382" s="10">
        <f t="shared" si="5"/>
        <v>300</v>
      </c>
      <c r="R382" s="3" t="s">
        <v>1331</v>
      </c>
    </row>
    <row r="383" spans="1:18" x14ac:dyDescent="0.25">
      <c r="A383" t="s">
        <v>439</v>
      </c>
      <c r="B383" s="3" t="s">
        <v>866</v>
      </c>
      <c r="C383" s="3" t="s">
        <v>1293</v>
      </c>
      <c r="D383" s="3" t="s">
        <v>1301</v>
      </c>
      <c r="E383" s="3">
        <v>1</v>
      </c>
      <c r="F383" s="3">
        <v>1500</v>
      </c>
      <c r="G383" s="3">
        <v>6000</v>
      </c>
      <c r="H383" s="4">
        <v>46190</v>
      </c>
      <c r="I383" s="4">
        <v>46183</v>
      </c>
      <c r="J383" s="3">
        <v>5000</v>
      </c>
      <c r="K383" s="3">
        <v>1000</v>
      </c>
      <c r="L383" s="3">
        <v>6000</v>
      </c>
      <c r="M383" s="3">
        <v>5000</v>
      </c>
      <c r="N383" s="3">
        <v>1000</v>
      </c>
      <c r="O383" s="3">
        <v>1500</v>
      </c>
      <c r="P383" s="3">
        <v>1500</v>
      </c>
      <c r="Q383" s="10">
        <f t="shared" si="5"/>
        <v>1500</v>
      </c>
      <c r="R383" s="3" t="s">
        <v>1331</v>
      </c>
    </row>
    <row r="384" spans="1:18" x14ac:dyDescent="0.25">
      <c r="A384" t="s">
        <v>440</v>
      </c>
      <c r="B384" s="3" t="s">
        <v>867</v>
      </c>
      <c r="C384" s="3" t="s">
        <v>1294</v>
      </c>
      <c r="D384" s="3" t="s">
        <v>1300</v>
      </c>
      <c r="E384" s="3">
        <v>1</v>
      </c>
      <c r="F384" s="3">
        <v>2249</v>
      </c>
      <c r="G384" s="3">
        <v>8995</v>
      </c>
      <c r="H384" s="4">
        <v>46190</v>
      </c>
      <c r="I384" s="4">
        <v>46183</v>
      </c>
      <c r="J384" s="3">
        <v>7000</v>
      </c>
      <c r="K384" s="3">
        <v>1995</v>
      </c>
      <c r="L384" s="3">
        <v>8995</v>
      </c>
      <c r="M384" s="3">
        <v>7000</v>
      </c>
      <c r="N384" s="3">
        <v>1995</v>
      </c>
      <c r="O384" s="3">
        <v>2249</v>
      </c>
      <c r="P384" s="3">
        <v>2249</v>
      </c>
      <c r="Q384" s="10">
        <f t="shared" si="5"/>
        <v>2249</v>
      </c>
      <c r="R384" s="3" t="s">
        <v>1331</v>
      </c>
    </row>
    <row r="385" spans="1:18" x14ac:dyDescent="0.25">
      <c r="A385" t="s">
        <v>441</v>
      </c>
      <c r="B385" s="3" t="s">
        <v>868</v>
      </c>
      <c r="C385" s="3" t="s">
        <v>1295</v>
      </c>
      <c r="D385" s="3" t="s">
        <v>1300</v>
      </c>
      <c r="E385" s="3">
        <v>15</v>
      </c>
      <c r="F385" s="3">
        <v>3300</v>
      </c>
      <c r="G385" s="3">
        <v>3300</v>
      </c>
      <c r="H385" s="4">
        <v>46176</v>
      </c>
      <c r="I385" s="4">
        <v>46141</v>
      </c>
      <c r="J385" s="3">
        <v>10000</v>
      </c>
      <c r="K385" s="3">
        <v>3000</v>
      </c>
      <c r="L385" s="3">
        <v>13000</v>
      </c>
      <c r="M385" s="3">
        <v>2800</v>
      </c>
      <c r="N385" s="3">
        <v>500</v>
      </c>
      <c r="O385" s="3">
        <v>2167</v>
      </c>
      <c r="P385" s="3">
        <v>3300</v>
      </c>
      <c r="Q385" s="10">
        <f t="shared" si="5"/>
        <v>3300</v>
      </c>
      <c r="R385" s="3" t="s">
        <v>1331</v>
      </c>
    </row>
    <row r="386" spans="1:18" x14ac:dyDescent="0.25">
      <c r="A386" t="s">
        <v>442</v>
      </c>
      <c r="B386" s="3" t="s">
        <v>869</v>
      </c>
      <c r="C386" s="3" t="s">
        <v>1296</v>
      </c>
      <c r="D386" s="3" t="s">
        <v>1300</v>
      </c>
      <c r="E386" s="3">
        <v>7</v>
      </c>
      <c r="F386" s="3">
        <v>1300</v>
      </c>
      <c r="G386" s="3">
        <v>1300</v>
      </c>
      <c r="H386" s="4">
        <v>46184</v>
      </c>
      <c r="I386" s="4">
        <v>46156</v>
      </c>
      <c r="J386" s="3">
        <v>10000</v>
      </c>
      <c r="K386" s="3">
        <v>2000</v>
      </c>
      <c r="L386" s="3">
        <v>12000</v>
      </c>
      <c r="M386" s="3">
        <v>1300</v>
      </c>
      <c r="N386" s="3">
        <v>0</v>
      </c>
      <c r="O386" s="3">
        <v>3000</v>
      </c>
      <c r="P386" s="3">
        <v>1300</v>
      </c>
      <c r="Q386" s="10">
        <f t="shared" si="5"/>
        <v>1300</v>
      </c>
      <c r="R386" s="3" t="s">
        <v>1331</v>
      </c>
    </row>
    <row r="387" spans="1:18" x14ac:dyDescent="0.25">
      <c r="A387" t="s">
        <v>443</v>
      </c>
      <c r="B387" s="3" t="s">
        <v>870</v>
      </c>
      <c r="C387" s="3" t="s">
        <v>1297</v>
      </c>
      <c r="D387" s="3" t="s">
        <v>1299</v>
      </c>
      <c r="E387" s="3">
        <v>9</v>
      </c>
      <c r="F387" s="3">
        <v>4478</v>
      </c>
      <c r="G387" s="3">
        <v>10110</v>
      </c>
      <c r="H387" s="4">
        <v>46182</v>
      </c>
      <c r="I387" s="4">
        <v>46161</v>
      </c>
      <c r="J387" s="3">
        <v>13000</v>
      </c>
      <c r="K387" s="3">
        <v>3900</v>
      </c>
      <c r="L387" s="3">
        <v>16900</v>
      </c>
      <c r="M387" s="3">
        <v>8160</v>
      </c>
      <c r="N387" s="3">
        <v>1950</v>
      </c>
      <c r="O387" s="3">
        <v>2817</v>
      </c>
      <c r="P387" s="3">
        <v>4478</v>
      </c>
      <c r="Q387" s="10">
        <f t="shared" ref="Q387:Q388" si="6">P387</f>
        <v>4478</v>
      </c>
      <c r="R387" s="3" t="s">
        <v>1331</v>
      </c>
    </row>
    <row r="388" spans="1:18" x14ac:dyDescent="0.25">
      <c r="A388" t="s">
        <v>444</v>
      </c>
      <c r="B388" s="3" t="s">
        <v>871</v>
      </c>
      <c r="C388" s="3" t="s">
        <v>1298</v>
      </c>
      <c r="D388" s="3" t="s">
        <v>1300</v>
      </c>
      <c r="E388" s="3">
        <v>1</v>
      </c>
      <c r="F388" s="3">
        <v>2158</v>
      </c>
      <c r="G388" s="3">
        <v>6490</v>
      </c>
      <c r="H388" s="4">
        <v>46190</v>
      </c>
      <c r="I388" s="4">
        <v>46162</v>
      </c>
      <c r="J388" s="3">
        <v>10000</v>
      </c>
      <c r="K388" s="3">
        <v>3000</v>
      </c>
      <c r="L388" s="3">
        <v>13000</v>
      </c>
      <c r="M388" s="3">
        <v>4999</v>
      </c>
      <c r="N388" s="3">
        <v>1491</v>
      </c>
      <c r="O388" s="3">
        <v>2167</v>
      </c>
      <c r="P388" s="3">
        <v>2158</v>
      </c>
      <c r="Q388" s="10">
        <f t="shared" si="6"/>
        <v>2158</v>
      </c>
      <c r="R388" s="3" t="s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Reducing</vt:lpstr>
      <vt:lpstr>Flat</vt:lpstr>
      <vt:lpstr>Flex</vt:lpstr>
      <vt:lpstr>Bullet</vt:lpstr>
      <vt:lpstr>Branches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Mwangi</cp:lastModifiedBy>
  <dcterms:created xsi:type="dcterms:W3CDTF">2026-06-18T07:36:17Z</dcterms:created>
  <dcterms:modified xsi:type="dcterms:W3CDTF">2026-06-29T07:26:28Z</dcterms:modified>
</cp:coreProperties>
</file>